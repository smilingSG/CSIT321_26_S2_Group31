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556bb7a0f74aff" /></Relationships>
</file>

<file path=xl/workbook.xml><?xml version="1.0" encoding="utf-8"?>
<x:workbook xmlns:x="http://schemas.openxmlformats.org/spreadsheetml/2006/main">
  <x:sheets>
    <x:sheet xmlns:r="http://schemas.openxmlformats.org/officeDocument/2006/relationships" name="Sprint 1" sheetId="1" r:id="R4022b385e7e84ac3"/>
    <x:sheet xmlns:r="http://schemas.openxmlformats.org/officeDocument/2006/relationships" name="Sprint 2" sheetId="2" r:id="R05bf319cad964a80"/>
    <x:sheet xmlns:r="http://schemas.openxmlformats.org/officeDocument/2006/relationships" name="Sprint 3" sheetId="3" r:id="R816906f9943844b7"/>
  </x:sheets>
</x:workbook>
</file>

<file path=xl/sharedStrings.xml><?xml version="1.0" encoding="utf-8"?>
<x:sst xmlns:x="http://schemas.openxmlformats.org/spreadsheetml/2006/main">
  <x:si>
    <x:t xml:space="preserve">TC-1 - As a user, I want to log in so that I can access the system.</x:t>
  </x:si>
  <x:si>
    <x:t xml:space="preserve">System Name</x:t>
  </x:si>
  <x:si>
    <x:t xml:space="preserve">Lazarus</x:t>
  </x:si>
  <x:si>
    <x:t xml:space="preserve">Module Code</x:t>
  </x:si>
  <x:si>
    <x:t xml:space="preserve">CSIT321</x:t>
  </x:si>
  <x:si>
    <x:t xml:space="preserve">User Story</x:t>
  </x:si>
  <x:si>
    <x:t xml:space="preserve">1. As a user, I want to log in so that I can access the system.</x:t>
  </x:si>
  <x:si>
    <x:t xml:space="preserve">Preconditions</x:t>
  </x:si>
  <x:si>
    <x:t xml:space="preserve">1. The Lazarus Flask application is running at http://127.0.0.1:5000.
2. MySQL is running and the project database is available.
3. The required test account and role are active.
4. The browser is connected to the local test system.
5. Disposable data is used for account-changing tests.</x:t>
  </x:si>
  <x:si>
    <x:t xml:space="preserve">Test Requirement</x:t>
  </x:si>
  <x:si>
    <x:t xml:space="preserve">1. Have valid user credentials available to log in and access the system.
2. For validation, ensure empty username and password fields cannot log in.
3. For the alternate case, ensure incorrect credentials cannot log in.</x:t>
  </x:si>
  <x:si>
    <x:t xml:space="preserve">Purpose</x:t>
  </x:si>
  <x:si>
    <x:t xml:space="preserve">Verify that a user can authenticate and reach the user dashboard.</x:t>
  </x:si>
  <x:si>
    <x:t xml:space="preserve">Pass</x:t>
  </x:si>
  <x:si>
    <x:t xml:space="preserve">Fail</x:t>
  </x:si>
  <x:si>
    <x:t xml:space="preserve">Pending</x:t>
  </x:si>
  <x:si>
    <x:t xml:space="preserve">Number of test cases</x:t>
  </x:si>
  <x:si>
    <x:t xml:space="preserve">ID</x:t>
  </x:si>
  <x:si>
    <x:t xml:space="preserve">Test Case Description</x:t>
  </x:si>
  <x:si>
    <x:t xml:space="preserve">Test Case Procedure</x:t>
  </x:si>
  <x:si>
    <x:t xml:space="preserve">Expected Output</x:t>
  </x:si>
  <x:si>
    <x:t xml:space="preserve">Actual Output</x:t>
  </x:si>
  <x:si>
    <x:t xml:space="preserve">Test Date</x:t>
  </x:si>
  <x:si>
    <x:t xml:space="preserve">Result</x:t>
  </x:si>
  <x:si>
    <x:t xml:space="preserve">Note</x:t>
  </x:si>
  <x:si>
    <x:t xml:space="preserve">Sprint 1 US1 - As a user, I want to log in so that I can access the system.</x:t>
  </x:si>
  <x:si>
    <x:t xml:space="preserve">TC-1-1</x:t>
  </x:si>
  <x:si>
    <x:t xml:space="preserve">Main - Valid user login</x:t>
  </x:si>
  <x:si>
    <x:t xml:space="preserve">Open the login page. Enter demo / demo. Select Login as User.</x:t>
  </x:si>
  <x:si>
    <x:t xml:space="preserve">The user is authenticated and redirected to the dashboard.</x:t>
  </x:si>
  <x:si>
    <x:t xml:space="preserve">The dashboard opened and displayed ("Welcome back, demo").</x:t>
  </x:si>
  <x:si>
    <x:t xml:space="preserve">Verified with the demo user in a fresh browser session.</x:t>
  </x:si>
  <x:si>
    <x:t xml:space="preserve">TC-1-2</x:t>
  </x:si>
  <x:si>
    <x:t xml:space="preserve">Validation - Required fields</x:t>
  </x:si>
  <x:si>
    <x:t xml:space="preserve">Leave the Email / Username and Password fields blank, then submit.</x:t>
  </x:si>
  <x:si>
    <x:t xml:space="preserve">The browser rejects the empty form and displays ("Please fill out this field.").</x:t>
  </x:si>
  <x:si>
    <x:t xml:space="preserve">The login remained blocked and the browser displayed ("Please fill out this field.").</x:t>
  </x:si>
  <x:si>
    <x:t xml:space="preserve">Observed the browser's required-field response.</x:t>
  </x:si>
  <x:si>
    <x:t xml:space="preserve">TC-1-3</x:t>
  </x:si>
  <x:si>
    <x:t xml:space="preserve">Alternate - Invalid credentials</x:t>
  </x:si>
  <x:si>
    <x:t xml:space="preserve">Enter invalid_user_sample / wrong_password and submit as User.</x:t>
  </x:si>
  <x:si>
    <x:t xml:space="preserve">Login is rejected with ("Invalid login credentials. Too many failed attempts will result in account suspension.").</x:t>
  </x:si>
  <x:si>
    <x:t xml:space="preserve">The login was rejected and displayed ("Invalid login credentials. Too many failed attempts will result in account suspension.").</x:t>
  </x:si>
  <x:si>
    <x:t xml:space="preserve">Used a nonexistent username to protect real account state.</x:t>
  </x:si>
  <x:si>
    <x:t xml:space="preserve">TC-2 - As a user admin, I want to log in so that I can access the system.</x:t>
  </x:si>
  <x:si>
    <x:t xml:space="preserve">2. As a user admin, I want to log in so that I can access the system.</x:t>
  </x:si>
  <x:si>
    <x:t xml:space="preserve">1. Have a valid User Admin account available to access the administration dashboard.
2. For validation, ensure User Admin credentials cannot log in under the wrong role.
3. For the alternate case, ensure a User Admin can log in using the registered email.</x:t>
  </x:si>
  <x:si>
    <x:t xml:space="preserve">Verify that a User Admin can authenticate with the correct role.</x:t>
  </x:si>
  <x:si>
    <x:t xml:space="preserve">Sprint 1 US2 - As a user admin, I want to log in so that I can access the system.</x:t>
  </x:si>
  <x:si>
    <x:t xml:space="preserve">TC-2-1</x:t>
  </x:si>
  <x:si>
    <x:t xml:space="preserve">Main - Valid User Admin login</x:t>
  </x:si>
  <x:si>
    <x:t xml:space="preserve">Enter admin / admin and select User Admin.</x:t>
  </x:si>
  <x:si>
    <x:t xml:space="preserve">The User Admin dashboard opens.</x:t>
  </x:si>
  <x:si>
    <x:t xml:space="preserve">The page opened and displayed ("User Admin Dashboard").</x:t>
  </x:si>
  <x:si>
    <x:t xml:space="preserve">Verified with the admin User Admin role.</x:t>
  </x:si>
  <x:si>
    <x:t xml:space="preserve">TC-2-2</x:t>
  </x:si>
  <x:si>
    <x:t xml:space="preserve">Validation - Incorrect role</x:t>
  </x:si>
  <x:si>
    <x:t xml:space="preserve">Enter admin / admin but select Login as User.</x:t>
  </x:si>
  <x:si>
    <x:t xml:space="preserve">The role-mismatched login was rejected with ("Invalid login credentials. Too many failed attempts will result in account suspension.").</x:t>
  </x:si>
  <x:si>
    <x:t xml:space="preserve">Confirmed role mismatch was rejected.</x:t>
  </x:si>
  <x:si>
    <x:t xml:space="preserve">TC-2-3</x:t>
  </x:si>
  <x:si>
    <x:t xml:space="preserve">Alternate - Login using email</x:t>
  </x:si>
  <x:si>
    <x:t xml:space="preserve">Enter admin@example.com / admin and select User Admin.</x:t>
  </x:si>
  <x:si>
    <x:t xml:space="preserve">The User Admin dashboard opens using the account email.</x:t>
  </x:si>
  <x:si>
    <x:t xml:space="preserve">The email login succeeded and displayed ("User Admin Dashboard").</x:t>
  </x:si>
  <x:si>
    <x:t xml:space="preserve">Repeated using the registered admin email.</x:t>
  </x:si>
  <x:si>
    <x:t xml:space="preserve">TC-3 - As a system admin, I want to log in so that I can access the system.</x:t>
  </x:si>
  <x:si>
    <x:t xml:space="preserve">3. As a system admin, I want to log in so that I can access the system.</x:t>
  </x:si>
  <x:si>
    <x:t xml:space="preserve">1. The Lazarus Flask application is running at http://127.0.0.1:5000.
2. MySQL is running and the project test data is available.
3. A valid active System Admin account (sysadmin) exists.
4. The browser session is logged out before each case.</x:t>
  </x:si>
  <x:si>
    <x:t xml:space="preserve">1. Have valid System Admin credentials available to log in.
2. For validation, ensure a non-System Admin account cannot select the System Admin role.
3. For the alternate case, ensure a suspended System Admin account is denied access.</x:t>
  </x:si>
  <x:si>
    <x:t xml:space="preserve">Verify that a System Admin can authenticate and reach the security settings page.</x:t>
  </x:si>
  <x:si>
    <x:t xml:space="preserve">Sprint 1 US3 - As a system admin, I want to log in so that I can access the system.</x:t>
  </x:si>
  <x:si>
    <x:t xml:space="preserve">TC-3-1</x:t>
  </x:si>
  <x:si>
    <x:t xml:space="preserve">Main - System-admin login</x:t>
  </x:si>
  <x:si>
    <x:t xml:space="preserve">Open Login, enter sysadmin credentials, and select System Admin.</x:t>
  </x:si>
  <x:si>
    <x:t xml:space="preserve">The account is authenticated and redirected to System Admin Settings.</x:t>
  </x:si>
  <x:si>
    <x:t xml:space="preserve">The browser redirected to the System Admin Settings page (/system-admin/settings).</x:t>
  </x:si>
  <x:si>
    <x:t xml:space="preserve">Browser-checked using the sysadmin test account.</x:t>
  </x:si>
  <x:si>
    <x:t xml:space="preserve">TC-3-2</x:t>
  </x:si>
  <x:si>
    <x:t xml:space="preserve">Validation - Role mismatch</x:t>
  </x:si>
  <x:si>
    <x:t xml:space="preserve">Enter user-admin credentials while selecting the System Admin role.</x:t>
  </x:si>
  <x:si>
    <x:t xml:space="preserve">The role mismatch is rejected with (Invalid login credentials. Too many failed attempts will result in account suspension.).</x:t>
  </x:si>
  <x:si>
    <x:t xml:space="preserve">The application rejected the role mismatch with (Invalid login credentials. Too many failed attempts will result in account suspension.).</x:t>
  </x:si>
  <x:si>
    <x:t xml:space="preserve">Confirmed by the corrected US3 validation test.</x:t>
  </x:si>
  <x:si>
    <x:t xml:space="preserve">TC-3-3</x:t>
  </x:si>
  <x:si>
    <x:t xml:space="preserve">Alternate - Suspended account</x:t>
  </x:si>
  <x:si>
    <x:t xml:space="preserve">Attempt System Admin login using a suspended account response.</x:t>
  </x:si>
  <x:si>
    <x:t xml:space="preserve">Access is denied with (This account is suspended. Please contact a user administrator.).</x:t>
  </x:si>
  <x:si>
    <x:t xml:space="preserve">The application denied access with (This account is suspended. Please contact a user administrator.).</x:t>
  </x:si>
  <x:si>
    <x:t xml:space="preserve">Confirmed by the corrected US3 alternate test.</x:t>
  </x:si>
  <x:si>
    <x:t xml:space="preserve">TC-4 - As a user, I want to log out so that I can securely end my session.</x:t>
  </x:si>
  <x:si>
    <x:t xml:space="preserve">4. As a user, I want to log out so that I can securely end my session.</x:t>
  </x:si>
  <x:si>
    <x:t xml:space="preserve">1. Have a logged-in user session that can be securely ended.
2. For validation, ensure the dashboard cannot be accessed after logout.
3. For the alternate case, ensure logout is handled safely when no session exists.</x:t>
  </x:si>
  <x:si>
    <x:t xml:space="preserve">Verify that user logout ends access to authenticated pages.</x:t>
  </x:si>
  <x:si>
    <x:t xml:space="preserve">Sprint 1 US4 - As a user, I want to log out so that I can securely end my session.</x:t>
  </x:si>
  <x:si>
    <x:t xml:space="preserve">TC-4-1</x:t>
  </x:si>
  <x:si>
    <x:t xml:space="preserve">Main - User logout</x:t>
  </x:si>
  <x:si>
    <x:t xml:space="preserve">Log in as demo, then select Logout.</x:t>
  </x:si>
  <x:si>
    <x:t xml:space="preserve">The session ends and the Login Page opens.</x:t>
  </x:si>
  <x:si>
    <x:t xml:space="preserve">Logout redirected the browser to ("Login Page").</x:t>
  </x:si>
  <x:si>
    <x:t xml:space="preserve">Checked after an authenticated demo session.</x:t>
  </x:si>
  <x:si>
    <x:t xml:space="preserve">TC-4-2</x:t>
  </x:si>
  <x:si>
    <x:t xml:space="preserve">Validation - Protected page after logout</x:t>
  </x:si>
  <x:si>
    <x:t xml:space="preserve">After logout, navigate directly to /dashboard.</x:t>
  </x:si>
  <x:si>
    <x:t xml:space="preserve">The unauthenticated browser is redirected to the Login Page.</x:t>
  </x:si>
  <x:si>
    <x:t xml:space="preserve">Direct access was blocked and redirected to ("Login Page").</x:t>
  </x:si>
  <x:si>
    <x:t xml:space="preserve">Reopened the protected route after logout.</x:t>
  </x:si>
  <x:si>
    <x:t xml:space="preserve">TC-4-3</x:t>
  </x:si>
  <x:si>
    <x:t xml:space="preserve">Alternate - Logout without a session</x:t>
  </x:si>
  <x:si>
    <x:t xml:space="preserve">Open /logout when no authenticated session exists.</x:t>
  </x:si>
  <x:si>
    <x:t xml:space="preserve">The request is handled safely and the Login Page opens.</x:t>
  </x:si>
  <x:si>
    <x:t xml:space="preserve">The request completed safely and displayed ("Login Page").</x:t>
  </x:si>
  <x:si>
    <x:t xml:space="preserve">Repeated with no active session.</x:t>
  </x:si>
  <x:si>
    <x:t xml:space="preserve">TC-5 - As a user admin, I want to log out so that I can securely end my session.</x:t>
  </x:si>
  <x:si>
    <x:t xml:space="preserve">5. As a user admin, I want to log out so that I can securely end my session.</x:t>
  </x:si>
  <x:si>
    <x:t xml:space="preserve">1. Have a logged-in User Admin session that can be securely ended.
2. For validation, ensure the User Admin dashboard cannot be accessed after logout.
3. For the alternate case, ensure repeated logout is handled safely.</x:t>
  </x:si>
  <x:si>
    <x:t xml:space="preserve">Verify that User Admin logout removes administrative access.</x:t>
  </x:si>
  <x:si>
    <x:t xml:space="preserve">Sprint 1 US5 - As a user admin, I want to log out so that I can securely end my session.</x:t>
  </x:si>
  <x:si>
    <x:t xml:space="preserve">TC-5-1</x:t>
  </x:si>
  <x:si>
    <x:t xml:space="preserve">Main - User Admin logout</x:t>
  </x:si>
  <x:si>
    <x:t xml:space="preserve">Log in as admin, then select Logout.</x:t>
  </x:si>
  <x:si>
    <x:t xml:space="preserve">Checked after an authenticated admin session.</x:t>
  </x:si>
  <x:si>
    <x:t xml:space="preserve">TC-5-2</x:t>
  </x:si>
  <x:si>
    <x:t xml:space="preserve">Validation - Admin page after logout</x:t>
  </x:si>
  <x:si>
    <x:t xml:space="preserve">After logout, navigate to /user-admin-dashboard.</x:t>
  </x:si>
  <x:si>
    <x:t xml:space="preserve">The browser is redirected to the Login Page.</x:t>
  </x:si>
  <x:si>
    <x:t xml:space="preserve">Administrative access was blocked and ("Login Page") was displayed.</x:t>
  </x:si>
  <x:si>
    <x:t xml:space="preserve">Confirmed the admin route redirected after logout.</x:t>
  </x:si>
  <x:si>
    <x:t xml:space="preserve">TC-5-3</x:t>
  </x:si>
  <x:si>
    <x:t xml:space="preserve">Alternate - Repeated logout</x:t>
  </x:si>
  <x:si>
    <x:t xml:space="preserve">Open /logout again with no session.</x:t>
  </x:si>
  <x:si>
    <x:t xml:space="preserve">The request is handled safely.</x:t>
  </x:si>
  <x:si>
    <x:t xml:space="preserve">The repeated request completed safely and displayed ("Login Page").</x:t>
  </x:si>
  <x:si>
    <x:t xml:space="preserve">Repeated logout to confirm safe handling.</x:t>
  </x:si>
  <x:si>
    <x:t xml:space="preserve">TC-6 - As a system admin, I want to log out so that I can securely end my session.</x:t>
  </x:si>
  <x:si>
    <x:t xml:space="preserve">6. As a system admin, I want to log out so that I can securely end my session.</x:t>
  </x:si>
  <x:si>
    <x:t xml:space="preserve">1. The Lazarus Flask application is running at http://127.0.0.1:5000.
2. MySQL is running and the project test data is available.
3. A valid System Admin session is available.
4. The System Admin Settings page can be opened.</x:t>
  </x:si>
  <x:si>
    <x:t xml:space="preserve">1. Log out from an authenticated System Admin session.
2. For validation, ensure all System Admin session identity values are cleared.
3. For the alternate case, ensure a logout request containing a next-page query still returns to Login.</x:t>
  </x:si>
  <x:si>
    <x:t xml:space="preserve">Verify that a System Admin can securely end the session.</x:t>
  </x:si>
  <x:si>
    <x:t xml:space="preserve">Sprint 1 US6 - As a system admin, I want to log out so that I can securely end my session.</x:t>
  </x:si>
  <x:si>
    <x:t xml:space="preserve">TC-6-1</x:t>
  </x:si>
  <x:si>
    <x:t xml:space="preserve">Main - System-admin logout</x:t>
  </x:si>
  <x:si>
    <x:t xml:space="preserve">Log in as sysadmin, open System Admin Settings, and click Logout.</x:t>
  </x:si>
  <x:si>
    <x:t xml:space="preserve">The session ends and the browser returns to Login.</x:t>
  </x:si>
  <x:si>
    <x:t xml:space="preserve">The System Admin session ended and the browser redirected to Login (/login).</x:t>
  </x:si>
  <x:si>
    <x:t xml:space="preserve">Browser-checked from System Admin Settings.</x:t>
  </x:si>
  <x:si>
    <x:t xml:space="preserve">TC-6-2</x:t>
  </x:si>
  <x:si>
    <x:t xml:space="preserve">Validation - Session cleared</x:t>
  </x:si>
  <x:si>
    <x:t xml:space="preserve">Log out and inspect the resulting session values.</x:t>
  </x:si>
  <x:si>
    <x:t xml:space="preserve">user_id, username, and role are removed from the session.</x:t>
  </x:si>
  <x:si>
    <x:t xml:space="preserve">The logout response redirected to Login and user_id, username, and role were absent.</x:t>
  </x:si>
  <x:si>
    <x:t xml:space="preserve">Confirmed by the US6 session-clear test.</x:t>
  </x:si>
  <x:si>
    <x:t xml:space="preserve">TC-6-3</x:t>
  </x:si>
  <x:si>
    <x:t xml:space="preserve">Alternate - Next query ignored</x:t>
  </x:si>
  <x:si>
    <x:t xml:space="preserve">Request /logout?next=/system-admin/settings while signed in.</x:t>
  </x:si>
  <x:si>
    <x:t xml:space="preserve">Logout remains safe and redirects to Login.</x:t>
  </x:si>
  <x:si>
    <x:t xml:space="preserve">The request redirected to Login and the System Admin session was cleared.</x:t>
  </x:si>
  <x:si>
    <x:t xml:space="preserve">Confirmed using the alternate logout route test.</x:t>
  </x:si>
  <x:si>
    <x:t xml:space="preserve">TC-7 - As a user, I want to upload a file so that I can store it securely in the system.</x:t>
  </x:si>
  <x:si>
    <x:t xml:space="preserve">7. As a user, I want to upload a file so that I can store it securely in the system.</x:t>
  </x:si>
  <x:si>
    <x:t xml:space="preserve">1. Have an accepted file ready to upload and store in Lazarus.
2. For validation, ensure upload cannot be completed when no file is selected.
3. For the alternate case, ensure accepted-file details are displayed correctly.</x:t>
  </x:si>
  <x:si>
    <x:t xml:space="preserve">Verify file selection, upload completion, and file metadata display.</x:t>
  </x:si>
  <x:si>
    <x:t xml:space="preserve">Sprint 1 US7 - As a user, I want to upload a file so that I can store it securely in the system.</x:t>
  </x:si>
  <x:si>
    <x:t xml:space="preserve">TC-7-1</x:t>
  </x:si>
  <x:si>
    <x:t xml:space="preserve">Main - Upload a TXT file</x:t>
  </x:si>
  <x:si>
    <x:t xml:space="preserve">Log in as demo. Open Upload File. Select sprint1_original.txt and upload it.</x:t>
  </x:si>
  <x:si>
    <x:t xml:space="preserve">The upload reaches Completed and displays ("100% uploaded. You may continue to preview.").</x:t>
  </x:si>
  <x:si>
    <x:t xml:space="preserve">The state became ("Completed") and displayed ("100% uploaded. You may continue to preview.").</x:t>
  </x:si>
  <x:si>
    <x:t xml:space="preserve">Retested with a disposable TXT file.</x:t>
  </x:si>
  <x:si>
    <x:t xml:space="preserve">TC-7-2</x:t>
  </x:si>
  <x:si>
    <x:t xml:space="preserve">Validation - No file selected</x:t>
  </x:si>
  <x:si>
    <x:t xml:space="preserve">Open Upload File without selecting a file.</x:t>
  </x:si>
  <x:si>
    <x:t xml:space="preserve">Complete Upload remains disabled.</x:t>
  </x:si>
  <x:si>
    <x:t xml:space="preserve">The page showed ("No file selected") and Complete Upload remained disabled.</x:t>
  </x:si>
  <x:si>
    <x:t xml:space="preserve">Confirmed Complete Upload remained unavailable.</x:t>
  </x:si>
  <x:si>
    <x:t xml:space="preserve">TC-7-3</x:t>
  </x:si>
  <x:si>
    <x:t xml:space="preserve">Alternate - Accepted file metadata</x:t>
  </x:si>
  <x:si>
    <x:t xml:space="preserve">Select the valid TXT file and observe the upload card.</x:t>
  </x:si>
  <x:si>
    <x:t xml:space="preserve">The filename, MIME type, and size are shown.</x:t>
  </x:si>
  <x:si>
    <x:t xml:space="preserve">The card displayed ("sprint1_original.txt"), ("text/plain"), and the file size.</x:t>
  </x:si>
  <x:si>
    <x:t xml:space="preserve">Compared displayed filename, type, and size.</x:t>
  </x:si>
  <x:si>
    <x:t xml:space="preserve">TC-8 - As a user, I want to pause file upload so that I can manage interruptions.</x:t>
  </x:si>
  <x:si>
    <x:t xml:space="preserve">8. As a user, I want to pause file upload so that I can manage interruptions.</x:t>
  </x:si>
  <x:si>
    <x:t xml:space="preserve">1. Have an active file upload that can be paused.
2. For validation, ensure Pause is unavailable when the upload is already paused.
3. For the alternate case, ensure the selected file details remain available while paused.</x:t>
  </x:si>
  <x:si>
    <x:t xml:space="preserve">Verify that an active upload can be paused without losing its selected file.</x:t>
  </x:si>
  <x:si>
    <x:t xml:space="preserve">Sprint 1 US8 - As a user, I want to pause file upload so that I can manage interruptions.</x:t>
  </x:si>
  <x:si>
    <x:t xml:space="preserve">TC-8-1</x:t>
  </x:si>
  <x:si>
    <x:t xml:space="preserve">Main - Pause active upload</x:t>
  </x:si>
  <x:si>
    <x:t xml:space="preserve">Select sprint1_large.txt, start uploading, then select Pause.</x:t>
  </x:si>
  <x:si>
    <x:t xml:space="preserve">The state becomes Paused and the current percentage is retained.</x:t>
  </x:si>
  <x:si>
    <x:t xml:space="preserve">The state became ("Paused") and displayed ("Upload paused at 2%.").</x:t>
  </x:si>
  <x:si>
    <x:t xml:space="preserve">Paused a disposable large-file upload at 2%.</x:t>
  </x:si>
  <x:si>
    <x:t xml:space="preserve">TC-8-2</x:t>
  </x:si>
  <x:si>
    <x:t xml:space="preserve">Validation - Pause unavailable when paused</x:t>
  </x:si>
  <x:si>
    <x:t xml:space="preserve">Observe the controls after the upload is paused.</x:t>
  </x:si>
  <x:si>
    <x:t xml:space="preserve">Pause is disabled while the upload is already paused.</x:t>
  </x:si>
  <x:si>
    <x:t xml:space="preserve">The Pause control became disabled while Resume became available.</x:t>
  </x:si>
  <x:si>
    <x:t xml:space="preserve">Checked the control state while paused.</x:t>
  </x:si>
  <x:si>
    <x:t xml:space="preserve">TC-8-3</x:t>
  </x:si>
  <x:si>
    <x:t xml:space="preserve">Alternate - Metadata retained</x:t>
  </x:si>
  <x:si>
    <x:t xml:space="preserve">Pause the upload and inspect the file details.</x:t>
  </x:si>
  <x:si>
    <x:t xml:space="preserve">Filename, type, and size remain available.</x:t>
  </x:si>
  <x:si>
    <x:t xml:space="preserve">The paused upload retained ("sprint1_large.txt"), its type, and its size.</x:t>
  </x:si>
  <x:si>
    <x:t xml:space="preserve">Confirmed file metadata remained visible.</x:t>
  </x:si>
  <x:si>
    <x:t xml:space="preserve">TC-9 - As a user, I want to resume file upload so that I can continue from where I stopped.</x:t>
  </x:si>
  <x:si>
    <x:t xml:space="preserve">9. As a user, I want to resume file upload so that I can continue from where I stopped.</x:t>
  </x:si>
  <x:si>
    <x:t xml:space="preserve">1. Have a paused file upload that can be resumed.
2. For validation, ensure Resume is unavailable while the upload is already active.
3. For the alternate case, ensure resumed progress continues instead of restarting.</x:t>
  </x:si>
  <x:si>
    <x:t xml:space="preserve">Verify that a paused upload resumes from its saved progress.</x:t>
  </x:si>
  <x:si>
    <x:t xml:space="preserve">Sprint 1 US9 - As a user, I want to resume file upload so that I can continue from where I stopped.</x:t>
  </x:si>
  <x:si>
    <x:t xml:space="preserve">TC-9-1</x:t>
  </x:si>
  <x:si>
    <x:t xml:space="preserve">Main - Resume paused upload</x:t>
  </x:si>
  <x:si>
    <x:t xml:space="preserve">Pause sprint1_large.txt at 2%, then select Resume.</x:t>
  </x:si>
  <x:si>
    <x:t xml:space="preserve">The state returns to Uploading and progress continues.</x:t>
  </x:si>
  <x:si>
    <x:t xml:space="preserve">The state returned to ("Uploading") and progress advanced from 2% to 5%.</x:t>
  </x:si>
  <x:si>
    <x:t xml:space="preserve">Resumed the upload from its saved percentage.</x:t>
  </x:si>
  <x:si>
    <x:t xml:space="preserve">TC-9-2</x:t>
  </x:si>
  <x:si>
    <x:t xml:space="preserve">Validation - Resume unavailable while uploading</x:t>
  </x:si>
  <x:si>
    <x:t xml:space="preserve">Inspect the controls after resuming.</x:t>
  </x:si>
  <x:si>
    <x:t xml:space="preserve">Resume is disabled while the upload is active.</x:t>
  </x:si>
  <x:si>
    <x:t xml:space="preserve">The Resume control became disabled while the state showed ("Uploading").</x:t>
  </x:si>
  <x:si>
    <x:t xml:space="preserve">Checked the control state while uploading.</x:t>
  </x:si>
  <x:si>
    <x:t xml:space="preserve">TC-9-3</x:t>
  </x:si>
  <x:si>
    <x:t xml:space="preserve">Alternate - Resume does not restart</x:t>
  </x:si>
  <x:si>
    <x:t xml:space="preserve">Compare the percentage before and after Resume.</x:t>
  </x:si>
  <x:si>
    <x:t xml:space="preserve">Progress continues above the stored percentage rather than returning to zero.</x:t>
  </x:si>
  <x:si>
    <x:t xml:space="preserve">Progress continued above 2% and did not restart at 0%.</x:t>
  </x:si>
  <x:si>
    <x:t xml:space="preserve">Compared progress before and after Resume.</x:t>
  </x:si>
  <x:si>
    <x:t xml:space="preserve">TC-10 - As a user, I want to cancel file upload so that I can stop unwanted uploads.</x:t>
  </x:si>
  <x:si>
    <x:t xml:space="preserve">10. As a user, I want to cancel file upload so that I can stop unwanted uploads.</x:t>
  </x:si>
  <x:si>
    <x:t xml:space="preserve">1. Have an active upload that can be cancelled.
2. For validation, ensure cancelling with no active upload does not cause an error.
3. For the alternate case, ensure progress, metadata, and controls reset after cancellation.</x:t>
  </x:si>
  <x:si>
    <x:t xml:space="preserve">Verify cancellation and cleanup of an unwanted upload.</x:t>
  </x:si>
  <x:si>
    <x:t xml:space="preserve">Sprint 1 US10 - As a user, I want to cancel file upload so that I can stop unwanted uploads.</x:t>
  </x:si>
  <x:si>
    <x:t xml:space="preserve">TC-10-1</x:t>
  </x:si>
  <x:si>
    <x:t xml:space="preserve">Main - Cancel active upload</x:t>
  </x:si>
  <x:si>
    <x:t xml:space="preserve">Start sprint1_large.txt and select Cancel.</x:t>
  </x:si>
  <x:si>
    <x:t xml:space="preserve">The upload is cancelled and progress resets.</x:t>
  </x:si>
  <x:si>
    <x:t xml:space="preserve">The state became ("Cancelled"), progress reset to 0%, and displayed ("Upload cancelled.").</x:t>
  </x:si>
  <x:si>
    <x:t xml:space="preserve">Cancelled an active disposable upload.</x:t>
  </x:si>
  <x:si>
    <x:t xml:space="preserve">TC-10-2</x:t>
  </x:si>
  <x:si>
    <x:t xml:space="preserve">Validation - Cancel without active upload</x:t>
  </x:si>
  <x:si>
    <x:t xml:space="preserve">Select Cancel when no upload is active.</x:t>
  </x:si>
  <x:si>
    <x:t xml:space="preserve">The page remains stable with no processing started.</x:t>
  </x:si>
  <x:si>
    <x:t xml:space="preserve">The page remained stable in ("Cancelled") state with no active file.</x:t>
  </x:si>
  <x:si>
    <x:t xml:space="preserve">Repeated with no active upload.</x:t>
  </x:si>
  <x:si>
    <x:t xml:space="preserve">TC-10-3</x:t>
  </x:si>
  <x:si>
    <x:t xml:space="preserve">Alternate - Controls reset</x:t>
  </x:si>
  <x:si>
    <x:t xml:space="preserve">Inspect controls and metadata after cancellation.</x:t>
  </x:si>
  <x:si>
    <x:t xml:space="preserve">File metadata is cleared and Complete Upload is disabled.</x:t>
  </x:si>
  <x:si>
    <x:t xml:space="preserve">Metadata reset to (-) and Complete Upload remained disabled.</x:t>
  </x:si>
  <x:si>
    <x:t xml:space="preserve">Confirmed progress and metadata were reset.</x:t>
  </x:si>
  <x:si>
    <x:t xml:space="preserve">TC-16 - As a user admin, I want to create user accounts so that new users can access the system.</x:t>
  </x:si>
  <x:si>
    <x:t xml:space="preserve">16. As a user admin, I want to create user accounts so that new users can access the system.</x:t>
  </x:si>
  <x:si>
    <x:t xml:space="preserve">1. Have User Admin access and unique valid details for a new account.
2. For validation, ensure an account cannot be created with empty required fields.
3. For the alternate case, ensure a duplicate username or email is rejected.</x:t>
  </x:si>
  <x:si>
    <x:t xml:space="preserve">Verify administrative creation of a valid user account.</x:t>
  </x:si>
  <x:si>
    <x:t xml:space="preserve">Sprint 1 US16 - As a user admin, I want to create user accounts so that new users can access the system.</x:t>
  </x:si>
  <x:si>
    <x:t xml:space="preserve">TC-16-1</x:t>
  </x:si>
  <x:si>
    <x:t xml:space="preserve">Main - Create valid user</x:t>
  </x:si>
  <x:si>
    <x:t xml:space="preserve">As admin, create sprint1_browser_user with a unique email, password, and User role.</x:t>
  </x:si>
  <x:si>
    <x:t xml:space="preserve">The account is created and shown as Active.</x:t>
  </x:si>
  <x:si>
    <x:t xml:space="preserve">The account appeared as Active and displayed ("User account created successfully.").</x:t>
  </x:si>
  <x:si>
    <x:t xml:space="preserve">Used a disposable account record.</x:t>
  </x:si>
  <x:si>
    <x:t xml:space="preserve">TC-16-2</x:t>
  </x:si>
  <x:si>
    <x:t xml:space="preserve">Open Create User, leave required fields empty, and submit.</x:t>
  </x:si>
  <x:si>
    <x:t xml:space="preserve">The browser displays ("Please fill out this field.").</x:t>
  </x:si>
  <x:si>
    <x:t xml:space="preserve">Submission was blocked and displayed ("Please fill out this field.").</x:t>
  </x:si>
  <x:si>
    <x:t xml:space="preserve">Observed required-field validation before submission.</x:t>
  </x:si>
  <x:si>
    <x:t xml:space="preserve">TC-16-3</x:t>
  </x:si>
  <x:si>
    <x:t xml:space="preserve">Alternate - Duplicate account</x:t>
  </x:si>
  <x:si>
    <x:t xml:space="preserve">Submit the same username and email again.</x:t>
  </x:si>
  <x:si>
    <x:t xml:space="preserve">The duplicate is rejected with ("Account exists.").</x:t>
  </x:si>
  <x:si>
    <x:t xml:space="preserve">The duplicate request was rejected and displayed ("Account exists.").</x:t>
  </x:si>
  <x:si>
    <x:t xml:space="preserve">Retried with the same username and email.</x:t>
  </x:si>
  <x:si>
    <x:t xml:space="preserve">TC-17 - As a user admin, I want to view user accounts so that I can monitor user details.</x:t>
  </x:si>
  <x:si>
    <x:t xml:space="preserve">17. As a user admin, I want to view user accounts so that I can monitor user details.</x:t>
  </x:si>
  <x:si>
    <x:t xml:space="preserve">1. Have User Admin access to view the account list and account details.
2. For validation, ensure normal users cannot view administrative account information.
3. For the alternate case, ensure an individual account detail page displays complete information.</x:t>
  </x:si>
  <x:si>
    <x:t xml:space="preserve">Verify account list and account-detail visibility for User Admins.</x:t>
  </x:si>
  <x:si>
    <x:t xml:space="preserve">Sprint 1 US17 - As a user admin, I want to view user accounts so that I can monitor user details.</x:t>
  </x:si>
  <x:si>
    <x:t xml:space="preserve">TC-17-1</x:t>
  </x:si>
  <x:si>
    <x:t xml:space="preserve">Main - View account list</x:t>
  </x:si>
  <x:si>
    <x:t xml:space="preserve">As admin, open User Management.</x:t>
  </x:si>
  <x:si>
    <x:t xml:space="preserve">The table lists account name, email, role, status, and actions.</x:t>
  </x:si>
  <x:si>
    <x:t xml:space="preserve">The table displayed demo, johnsmith, admin, sysadmin, and the disposable test account with their roles and statuses.</x:t>
  </x:si>
  <x:si>
    <x:t xml:space="preserve">Reviewed the User Management list as admin.</x:t>
  </x:si>
  <x:si>
    <x:t xml:space="preserve">TC-17-2</x:t>
  </x:si>
  <x:si>
    <x:t xml:space="preserve">Validation - Role-protected view</x:t>
  </x:si>
  <x:si>
    <x:t xml:space="preserve">Log out and attempt to open User Management as a normal user.</x:t>
  </x:si>
  <x:si>
    <x:t xml:space="preserve">Administrative account details are not exposed to the normal user.</x:t>
  </x:si>
  <x:si>
    <x:t xml:space="preserve">The normal user remained on the user dashboard and no User Management navigation was available.</x:t>
  </x:si>
  <x:si>
    <x:t xml:space="preserve">Confirmed normal-user navigation did not expose the page.</x:t>
  </x:si>
  <x:si>
    <x:t xml:space="preserve">TC-17-3</x:t>
  </x:si>
  <x:si>
    <x:t xml:space="preserve">Alternate - View account details</x:t>
  </x:si>
  <x:si>
    <x:t xml:space="preserve">Select View for the disposable account.</x:t>
  </x:si>
  <x:si>
    <x:t xml:space="preserve">The detail page shows name, email, role, status, ID, and timestamps.</x:t>
  </x:si>
  <x:si>
    <x:t xml:space="preserve">The page displayed ("View User Account"), the account ID, email, User role, and Active status.</x:t>
  </x:si>
  <x:si>
    <x:t xml:space="preserve">Opened the disposable account's detail view.</x:t>
  </x:si>
  <x:si>
    <x:t xml:space="preserve">TC-18 - As a user admin, I want to update user accounts so that I can maintain accurate information.</x:t>
  </x:si>
  <x:si>
    <x:t xml:space="preserve">18. As a user admin, I want to update user accounts so that I can maintain accurate information.</x:t>
  </x:si>
  <x:si>
    <x:t xml:space="preserve">1. Have User Admin access and an existing account whose details can be updated.
2. For validation, ensure required account fields cannot be left empty.
3. For the alternate case, ensure an update request for a nonexistent account is rejected.</x:t>
  </x:si>
  <x:si>
    <x:t xml:space="preserve">Verify that User Admins can update account details safely.</x:t>
  </x:si>
  <x:si>
    <x:t xml:space="preserve">Sprint 1 US18 - As a user admin, I want to update user accounts so that I can maintain accurate information.</x:t>
  </x:si>
  <x:si>
    <x:t xml:space="preserve">TC-18-1</x:t>
  </x:si>
  <x:si>
    <x:t xml:space="preserve">Main - Update account</x:t>
  </x:si>
  <x:si>
    <x:t xml:space="preserve">Change the disposable account name and email, then save.</x:t>
  </x:si>
  <x:si>
    <x:t xml:space="preserve">The updated values appear in User Management.</x:t>
  </x:si>
  <x:si>
    <x:t xml:space="preserve">The list displayed sprint1_browser_updated and sprint1.updated@example.com with ("User account updated successfully.").</x:t>
  </x:si>
  <x:si>
    <x:t xml:space="preserve">Updated only the disposable account.</x:t>
  </x:si>
  <x:si>
    <x:t xml:space="preserve">TC-18-2</x:t>
  </x:si>
  <x:si>
    <x:t xml:space="preserve">Validation - Required name</x:t>
  </x:si>
  <x:si>
    <x:t xml:space="preserve">Clear the required Name field and submit.</x:t>
  </x:si>
  <x:si>
    <x:t xml:space="preserve">Submission remained blocked by the required Name field and displayed ("Please fill out this field.").</x:t>
  </x:si>
  <x:si>
    <x:t xml:space="preserve">Observed the required Name validation.</x:t>
  </x:si>
  <x:si>
    <x:t xml:space="preserve">TC-18-3</x:t>
  </x:si>
  <x:si>
    <x:t xml:space="preserve">Alternate - Missing account</x:t>
  </x:si>
  <x:si>
    <x:t xml:space="preserve">Open the update URL for a nonexistent user ID.</x:t>
  </x:si>
  <x:si>
    <x:t xml:space="preserve">No record is updated and the application displays ("User not found.").</x:t>
  </x:si>
  <x:si>
    <x:t xml:space="preserve">No account was modified and the application displayed ("User not found.").</x:t>
  </x:si>
  <x:si>
    <x:t xml:space="preserve">Used a nonexistent user ID for the alternate check.</x:t>
  </x:si>
  <x:si>
    <x:t xml:space="preserve">TC-19 - As a user admin, I want to delete user accounts so that I can remove inactive or unauthorized users.</x:t>
  </x:si>
  <x:si>
    <x:t xml:space="preserve">19. As a user admin, I want to delete user accounts so that I can remove inactive or unauthorized users.</x:t>
  </x:si>
  <x:si>
    <x:t xml:space="preserve">1. Have User Admin access and a disposable account that can be deleted.
2. For validation, ensure cancelling the confirmation does not delete the account.
3. For the alternate case, ensure a deleted account no longer appears in search results.</x:t>
  </x:si>
  <x:si>
    <x:t xml:space="preserve">Verify safe confirmation and deletion of an account.</x:t>
  </x:si>
  <x:si>
    <x:t xml:space="preserve">Sprint 1 US19 - As a user admin, I want to delete user accounts so that I can remove inactive or unauthorized users.</x:t>
  </x:si>
  <x:si>
    <x:t xml:space="preserve">TC-19-1</x:t>
  </x:si>
  <x:si>
    <x:t xml:space="preserve">Main - Confirm account deletion</x:t>
  </x:si>
  <x:si>
    <x:t xml:space="preserve">Select Delete for the disposable account and confirm.</x:t>
  </x:si>
  <x:si>
    <x:t xml:space="preserve">The account is removed and ("User account deleted successfully.") is displayed.</x:t>
  </x:si>
  <x:si>
    <x:t xml:space="preserve">The row was removed and the page displayed ("User account deleted successfully.").</x:t>
  </x:si>
  <x:si>
    <x:t xml:space="preserve">Deleted the disposable account after confirmation.</x:t>
  </x:si>
  <x:si>
    <x:t xml:space="preserve">TC-19-2</x:t>
  </x:si>
  <x:si>
    <x:t xml:space="preserve">Validation - Cancel deletion</x:t>
  </x:si>
  <x:si>
    <x:t xml:space="preserve">Open the deletion confirmation and select Cancel.</x:t>
  </x:si>
  <x:si>
    <x:t xml:space="preserve">The account remains in the list.</x:t>
  </x:si>
  <x:si>
    <x:t xml:space="preserve">The confirmation closed and the disposable account remained in User Management.</x:t>
  </x:si>
  <x:si>
    <x:t xml:space="preserve">Cancelled once before confirming deletion.</x:t>
  </x:si>
  <x:si>
    <x:t xml:space="preserve">TC-19-3</x:t>
  </x:si>
  <x:si>
    <x:t xml:space="preserve">Alternate - Deleted account absent</x:t>
  </x:si>
  <x:si>
    <x:t xml:space="preserve">Search for the deleted account after confirmation.</x:t>
  </x:si>
  <x:si>
    <x:t xml:space="preserve">The deleted account is not returned.</x:t>
  </x:si>
  <x:si>
    <x:t xml:space="preserve">The deleted username was absent and the filtered table displayed ("No results found.").</x:t>
  </x:si>
  <x:si>
    <x:t xml:space="preserve">Searched again after the account was removed.</x:t>
  </x:si>
  <x:si>
    <x:t xml:space="preserve">TC-20 - As a user admin, I want to search for user accounts so that I can quickly find specific users.</x:t>
  </x:si>
  <x:si>
    <x:t xml:space="preserve">20. As a user admin, I want to search for user accounts so that I can quickly find specific users.</x:t>
  </x:si>
  <x:si>
    <x:t xml:space="preserve">1. Have User Admin access and an existing account that can be searched.
2. For validation, ensure a nonmatching search displays no results.
3. For the alternate case, ensure a blank search returns the complete account list.</x:t>
  </x:si>
  <x:si>
    <x:t xml:space="preserve">Verify matching, nonmatching, and blank account searches.</x:t>
  </x:si>
  <x:si>
    <x:t xml:space="preserve">Sprint 1 US20 - As a user admin, I want to search for user accounts so that I can quickly find specific users.</x:t>
  </x:si>
  <x:si>
    <x:t xml:space="preserve">TC-20-1</x:t>
  </x:si>
  <x:si>
    <x:t xml:space="preserve">Main - Matching search</x:t>
  </x:si>
  <x:si>
    <x:t xml:space="preserve">Search for sprint1_browser_updated.</x:t>
  </x:si>
  <x:si>
    <x:t xml:space="preserve">Only the matching account is returned.</x:t>
  </x:si>
  <x:si>
    <x:t xml:space="preserve">The filtered table displayed the matching updated username and email.</x:t>
  </x:si>
  <x:si>
    <x:t xml:space="preserve">Searched using the disposable account's updated name.</x:t>
  </x:si>
  <x:si>
    <x:t xml:space="preserve">TC-20-2</x:t>
  </x:si>
  <x:si>
    <x:t xml:space="preserve">Validation - No matching account</x:t>
  </x:si>
  <x:si>
    <x:t xml:space="preserve">Search for no_such_sprint1_account.</x:t>
  </x:si>
  <x:si>
    <x:t xml:space="preserve">The table displays ("No results found.").</x:t>
  </x:si>
  <x:si>
    <x:t xml:space="preserve">The empty result table displayed ("No results found.").</x:t>
  </x:si>
  <x:si>
    <x:t xml:space="preserve">Used a deliberately nonexistent query.</x:t>
  </x:si>
  <x:si>
    <x:t xml:space="preserve">TC-20-3</x:t>
  </x:si>
  <x:si>
    <x:t xml:space="preserve">Alternate - Blank search</x:t>
  </x:si>
  <x:si>
    <x:t xml:space="preserve">Submit a blank search query.</x:t>
  </x:si>
  <x:si>
    <x:t xml:space="preserve">The full account list is displayed.</x:t>
  </x:si>
  <x:si>
    <x:t xml:space="preserve">The page returned to the complete account list.</x:t>
  </x:si>
  <x:si>
    <x:t xml:space="preserve">Cleared the query to restore the full list.</x:t>
  </x:si>
  <x:si>
    <x:t xml:space="preserve">TC-21 - As a user admin, I want to suspend user accounts so that I can block access for users when necessary.</x:t>
  </x:si>
  <x:si>
    <x:t xml:space="preserve">21. As a user admin, I want to suspend user accounts so that I can block access for users when necessary.</x:t>
  </x:si>
  <x:si>
    <x:t xml:space="preserve">1. Have User Admin access and an active account that can be suspended.
2. For validation, ensure a suspended account cannot log in.
3. For the alternate case, ensure an already suspended account cannot be suspended again.</x:t>
  </x:si>
  <x:si>
    <x:t xml:space="preserve">Verify account suspension and immediate access blocking.</x:t>
  </x:si>
  <x:si>
    <x:t xml:space="preserve">Sprint 1 US21 - As a user admin, I want to suspend user accounts so that I can block access for users when necessary.</x:t>
  </x:si>
  <x:si>
    <x:t xml:space="preserve">TC-21-1</x:t>
  </x:si>
  <x:si>
    <x:t xml:space="preserve">Main - Suspend active account</x:t>
  </x:si>
  <x:si>
    <x:t xml:space="preserve">Select Suspend for the disposable active user.</x:t>
  </x:si>
  <x:si>
    <x:t xml:space="preserve">Status changes to Suspended and ("User account suspended successfully.") is displayed.</x:t>
  </x:si>
  <x:si>
    <x:t xml:space="preserve">The row changed to Suspended and displayed ("User account suspended successfully.").</x:t>
  </x:si>
  <x:si>
    <x:t xml:space="preserve">Suspended only the disposable account.</x:t>
  </x:si>
  <x:si>
    <x:t xml:space="preserve">TC-21-2</x:t>
  </x:si>
  <x:si>
    <x:t xml:space="preserve">Validation - Suspended login blocked</x:t>
  </x:si>
  <x:si>
    <x:t xml:space="preserve">Attempt to log in using the suspended account.</x:t>
  </x:si>
  <x:si>
    <x:t xml:space="preserve">Login is rejected with ("This account is suspended. Please contact a user administrator.").</x:t>
  </x:si>
  <x:si>
    <x:t xml:space="preserve">Login was rejected and displayed ("This account is suspended. Please contact a user administrator.").</x:t>
  </x:si>
  <x:si>
    <x:t xml:space="preserve">Retried login using the suspended account.</x:t>
  </x:si>
  <x:si>
    <x:t xml:space="preserve">TC-21-3</x:t>
  </x:si>
  <x:si>
    <x:t xml:space="preserve">Alternate - No repeated suspend</x:t>
  </x:si>
  <x:si>
    <x:t xml:space="preserve">Inspect actions for the suspended account.</x:t>
  </x:si>
  <x:si>
    <x:t xml:space="preserve">Suspend is no longer offered; Unsuspend is available.</x:t>
  </x:si>
  <x:si>
    <x:t xml:space="preserve">The row showed Unsuspend instead of Suspend.</x:t>
  </x:si>
  <x:si>
    <x:t xml:space="preserve">Confirmed the action changed to Unsuspend.</x:t>
  </x:si>
  <x:si>
    <x:t xml:space="preserve">TC-22 - As a user admin, I want to unsuspend user accounts so that I can re-allow access for users when necessary.</x:t>
  </x:si>
  <x:si>
    <x:t xml:space="preserve">22. As a user admin, I want to unsuspend user accounts so that I can re-allow access for users when necessary.</x:t>
  </x:si>
  <x:si>
    <x:t xml:space="preserve">1. Have User Admin access and a suspended account that can be reactivated.
2. For validation, ensure an active account cannot be unsuspended again.
3. For the alternate case, ensure the reactivated account can log in successfully.</x:t>
  </x:si>
  <x:si>
    <x:t xml:space="preserve">Verify reactivation of a suspended account.</x:t>
  </x:si>
  <x:si>
    <x:t xml:space="preserve">Sprint 1 US22 - As a user admin, I want to unsuspend user accounts so that I can re-allow access for users when necessary.</x:t>
  </x:si>
  <x:si>
    <x:t xml:space="preserve">TC-22-1</x:t>
  </x:si>
  <x:si>
    <x:t xml:space="preserve">Main - Unsuspend account</x:t>
  </x:si>
  <x:si>
    <x:t xml:space="preserve">Select Unsuspend for the suspended disposable user.</x:t>
  </x:si>
  <x:si>
    <x:t xml:space="preserve">Status changes to Active and ("User account unsuspended successfully.") is displayed.</x:t>
  </x:si>
  <x:si>
    <x:t xml:space="preserve">The row changed to Active and displayed ("User account unsuspended successfully.").</x:t>
  </x:si>
  <x:si>
    <x:t xml:space="preserve">Reactivated the disposable account.</x:t>
  </x:si>
  <x:si>
    <x:t xml:space="preserve">TC-22-2</x:t>
  </x:si>
  <x:si>
    <x:t xml:space="preserve">Validation - No repeated unsuspend</x:t>
  </x:si>
  <x:si>
    <x:t xml:space="preserve">Inspect actions for the active account.</x:t>
  </x:si>
  <x:si>
    <x:t xml:space="preserve">Unsuspend is no longer offered; Suspend is available.</x:t>
  </x:si>
  <x:si>
    <x:t xml:space="preserve">The active row showed Suspend instead of Unsuspend.</x:t>
  </x:si>
  <x:si>
    <x:t xml:space="preserve">Confirmed Unsuspend was unavailable when already active.</x:t>
  </x:si>
  <x:si>
    <x:t xml:space="preserve">TC-22-3</x:t>
  </x:si>
  <x:si>
    <x:t xml:space="preserve">Alternate - Login restored</x:t>
  </x:si>
  <x:si>
    <x:t xml:space="preserve">Log in using the reactivated account.</x:t>
  </x:si>
  <x:si>
    <x:t xml:space="preserve">The user dashboard opens.</x:t>
  </x:si>
  <x:si>
    <x:t xml:space="preserve">Login succeeded and displayed ("Welcome back, sprint1_browser_updated").</x:t>
  </x:si>
  <x:si>
    <x:t xml:space="preserve">Logged in again after reactivation.</x:t>
  </x:si>
  <x:si>
    <x:t xml:space="preserve">1. Have a completed upload ready to preview before encryption.
2. For validation, ensure unsupported inline preview types display a safe fallback message.
3. For the alternate case, ensure Continue, Replace, and Delete choices are available.</x:t>
  </x:si>
  <x:si>
    <x:t xml:space="preserve">Verify pre-encryption file details and preview controls.</x:t>
  </x:si>
  <x:si>
    <x:t xml:space="preserve">Main - Preview uploaded file</x:t>
  </x:si>
  <x:si>
    <x:t xml:space="preserve">Complete upload of sprint1_original.txt and continue to preview.</x:t>
  </x:si>
  <x:si>
    <x:t xml:space="preserve">The preview page identifies the selected file before processing.</x:t>
  </x:si>
  <x:si>
    <x:t xml:space="preserve">The page displayed ("File Preview Page"), ("sprint1_original.txt"), type text/plain, and size 0.15 KB.</x:t>
  </x:si>
  <x:si>
    <x:t xml:space="preserve">Verified the pre-encryption preview in the browser.</x:t>
  </x:si>
  <x:si>
    <x:t xml:space="preserve">Validation - Unsupported inline preview</x:t>
  </x:si>
  <x:si>
    <x:t xml:space="preserve">Preview a TXT file without an inline renderer.</x:t>
  </x:si>
  <x:si>
    <x:t xml:space="preserve">A safe fallback message is displayed.</x:t>
  </x:si>
  <x:si>
    <x:t xml:space="preserve">The page displayed ("Preview unavailable for this file type") and ("Local browser preview unavailable").</x:t>
  </x:si>
  <x:si>
    <x:t xml:space="preserve">Observed the safe TXT preview fallback.</x:t>
  </x:si>
  <x:si>
    <x:t xml:space="preserve">Alternate - Preview decisions</x:t>
  </x:si>
  <x:si>
    <x:t xml:space="preserve">Inspect the available preview actions.</x:t>
  </x:si>
  <x:si>
    <x:t xml:space="preserve">Continue, Replace File, and Delete File are available.</x:t>
  </x:si>
  <x:si>
    <x:t xml:space="preserve">The preview page displayed Continue, Replace File, and Delete File controls.</x:t>
  </x:si>
  <x:si>
    <x:t xml:space="preserve">Checked all three preview decision controls.</x:t>
  </x:si>
  <x:si>
    <x:t xml:space="preserve">1. Have an uploaded file that can be replaced before encryption.
2. For validation, ensure processing cannot continue before a replacement file is selected.
3. For the alternate case, ensure the replacement file's metadata replaces the original details.</x:t>
  </x:si>
  <x:si>
    <x:t xml:space="preserve">Verify replacement before encryption begins.</x:t>
  </x:si>
  <x:si>
    <x:t xml:space="preserve">Main - Replace selected file</x:t>
  </x:si>
  <x:si>
    <x:t xml:space="preserve">On preview, select Replace File and upload sprint1_replacement.txt.</x:t>
  </x:si>
  <x:si>
    <x:t xml:space="preserve">The replacement file becomes the pending file.</x:t>
  </x:si>
  <x:si>
    <x:t xml:space="preserve">The new preview displayed ("sprint1_replacement.txt") and ("Uploaded file preview is ready for user confirmation.").</x:t>
  </x:si>
  <x:si>
    <x:t xml:space="preserve">Replaced the upload with a second disposable TXT file.</x:t>
  </x:si>
  <x:si>
    <x:t xml:space="preserve">Validation - Replacement not yet chosen</x:t>
  </x:si>
  <x:si>
    <x:t xml:space="preserve">Open the replacement upload page without selecting another file.</x:t>
  </x:si>
  <x:si>
    <x:t xml:space="preserve">Processing cannot continue and Complete Upload is disabled.</x:t>
  </x:si>
  <x:si>
    <x:t xml:space="preserve">The page displayed ("No file selected") and Complete Upload was disabled.</x:t>
  </x:si>
  <x:si>
    <x:t xml:space="preserve">Checked the empty replacement state.</x:t>
  </x:si>
  <x:si>
    <x:t xml:space="preserve">Alternate - Replacement metadata</x:t>
  </x:si>
  <x:si>
    <x:t xml:space="preserve">Complete the replacement and inspect its preview details.</x:t>
  </x:si>
  <x:si>
    <x:t xml:space="preserve">The new filename, type, and size replace the original metadata.</x:t>
  </x:si>
  <x:si>
    <x:t xml:space="preserve">The preview displayed ("sprint1_replacement.txt"), text/plain, and size 0.13 KB.</x:t>
  </x:si>
  <x:si>
    <x:t xml:space="preserve">Compared replacement metadata with the original.</x:t>
  </x:si>
  <x:si>
    <x:t xml:space="preserve">1. Have an uploaded file that can be deleted before encryption.
2. For validation, ensure Delete and Continue are disabled after the file is removed.
3. For the alternate case, ensure the user can return to select another file.</x:t>
  </x:si>
  <x:si>
    <x:t xml:space="preserve">Verify removal of a pending file before encryption.</x:t>
  </x:si>
  <x:si>
    <x:t xml:space="preserve">Main - Delete before encryption</x:t>
  </x:si>
  <x:si>
    <x:t xml:space="preserve">On the preview page, select Delete File.</x:t>
  </x:si>
  <x:si>
    <x:t xml:space="preserve">The pending file is removed before processing.</x:t>
  </x:si>
  <x:si>
    <x:t xml:space="preserve">The page displayed ("Deleted before encryption") and ("Awaiting upload completion.").</x:t>
  </x:si>
  <x:si>
    <x:t xml:space="preserve">Deleted the pending file before processing.</x:t>
  </x:si>
  <x:si>
    <x:t xml:space="preserve">Validation - Repeated delete unavailable</x:t>
  </x:si>
  <x:si>
    <x:t xml:space="preserve">Inspect controls after deleting the pending file.</x:t>
  </x:si>
  <x:si>
    <x:t xml:space="preserve">Delete is disabled because no pending file remains.</x:t>
  </x:si>
  <x:si>
    <x:t xml:space="preserve">Delete File and Continue were disabled after deletion.</x:t>
  </x:si>
  <x:si>
    <x:t xml:space="preserve">Confirmed repeated deletion was disabled.</x:t>
  </x:si>
  <x:si>
    <x:t xml:space="preserve">Alternate - Replacement still available</x:t>
  </x:si>
  <x:si>
    <x:t xml:space="preserve">Inspect the page after deletion.</x:t>
  </x:si>
  <x:si>
    <x:t xml:space="preserve">The user can return to choose another file.</x:t>
  </x:si>
  <x:si>
    <x:t xml:space="preserve">Replace File remained available while encryption and processing could not continue.</x:t>
  </x:si>
  <x:si>
    <x:t xml:space="preserve">Verified Replace File remained available.</x:t>
  </x:si>
  <x:si>
    <x:t xml:space="preserve">TC-23 - As a user, I want my file to be automatically encrypted before splitting so that the content is protected even if fragments are intercepted.</x:t>
  </x:si>
  <x:si>
    <x:t xml:space="preserve">23. As a user, I want my file to be automatically encrypted before splitting so that the content is protected even if fragments are intercepted.</x:t>
  </x:si>
  <x:si>
    <x:t xml:space="preserve">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t>
  </x:si>
  <x:si>
    <x:t xml:space="preserve">1. Have a confirmed upload and valid k-of-n configuration ready for encryption.
2. For validation, ensure processing stops when encryption cannot be completed.
3. For the alternate case, ensure the processing summary identifies AES-256 encryption.</x:t>
  </x:si>
  <x:si>
    <x:t xml:space="preserve">Verify automatic AES-256 encryption before fragmentation.</x:t>
  </x:si>
  <x:si>
    <x:t xml:space="preserve">Sprint 2 US23 - As a user, I want my file to be automatically encrypted before splitting so that the content is protected even if fragments are intercepted.</x:t>
  </x:si>
  <x:si>
    <x:t xml:space="preserve">TC-23-1</x:t>
  </x:si>
  <x:si>
    <x:t xml:space="preserve">Main - Automatic encryption</x:t>
  </x:si>
  <x:si>
    <x:t xml:space="preserve">Upload, preview, configure 2-of-4, and continue.</x:t>
  </x:si>
  <x:si>
    <x:t xml:space="preserve">The file is encrypted before splitting.</x:t>
  </x:si>
  <x:si>
    <x:t xml:space="preserve">The processing page displayed ("AES-256") before reporting the fragment count.</x:t>
  </x:si>
  <x:si>
    <x:t xml:space="preserve">Checked with the local AES master key enabled.</x:t>
  </x:si>
  <x:si>
    <x:t xml:space="preserve">TC-23-2</x:t>
  </x:si>
  <x:si>
    <x:t xml:space="preserve">Validation - Missing encryption key</x:t>
  </x:si>
  <x:si>
    <x:t xml:space="preserve">Attempt processing without the required local master key.</x:t>
  </x:si>
  <x:si>
    <x:t xml:space="preserve">Processing stops safely with ("File encryption failed.").</x:t>
  </x:si>
  <x:si>
    <x:t xml:space="preserve">Before the local key was enabled, processing stopped and displayed ("File encryption failed.").</x:t>
  </x:si>
  <x:si>
    <x:t xml:space="preserve">Captured the controlled missing-key response before enabling it.</x:t>
  </x:si>
  <x:si>
    <x:t xml:space="preserve">TC-23-3</x:t>
  </x:si>
  <x:si>
    <x:t xml:space="preserve">Alternate - Encrypted processing summary</x:t>
  </x:si>
  <x:si>
    <x:t xml:space="preserve">Inspect the successful processing summary.</x:t>
  </x:si>
  <x:si>
    <x:t xml:space="preserve">The summary identifies encryption and does not expose plaintext content.</x:t>
  </x:si>
  <x:si>
    <x:t xml:space="preserve">The summary displayed ("Encryption") and ("AES-256") without displaying file contents.</x:t>
  </x:si>
  <x:si>
    <x:t xml:space="preserve">Reviewed the successful processing summary.</x:t>
  </x:si>
  <x:si>
    <x:t xml:space="preserve">1. Have an encrypted file with a valid total-fragment value.
2. For validation, ensure splitting cannot proceed without encrypted file details.
3. For the alternate case, ensure the displayed fragment count matches the chosen total.</x:t>
  </x:si>
  <x:si>
    <x:t xml:space="preserve">Verify automatic splitting after encryption.</x:t>
  </x:si>
  <x:si>
    <x:t xml:space="preserve">Main - Automatic splitting</x:t>
  </x:si>
  <x:si>
    <x:t xml:space="preserve">Process the encrypted file using a 2-of-4 configuration.</x:t>
  </x:si>
  <x:si>
    <x:t xml:space="preserve">Four fragments are created after encryption.</x:t>
  </x:si>
  <x:si>
    <x:t xml:space="preserve">The page displayed ("4 parts") after ("AES-256").</x:t>
  </x:si>
  <x:si>
    <x:t xml:space="preserve">Observed encryption before the four-part split.</x:t>
  </x:si>
  <x:si>
    <x:t xml:space="preserve">Validation - Encryption required</x:t>
  </x:si>
  <x:si>
    <x:t xml:space="preserve">Attempt the workflow only after the encryption stage is unavailable.</x:t>
  </x:si>
  <x:si>
    <x:t xml:space="preserve">The system does not report successful splitting before encryption.</x:t>
  </x:si>
  <x:si>
    <x:t xml:space="preserve">The earlier failed-encryption run stopped before any successful fragment result was displayed.</x:t>
  </x:si>
  <x:si>
    <x:t xml:space="preserve">Confirmed splitting did not report success after encryption failure.</x:t>
  </x:si>
  <x:si>
    <x:t xml:space="preserve">Alternate - Five-part configuration</x:t>
  </x:si>
  <x:si>
    <x:t xml:space="preserve">Use the default 3-of-5 configuration on the configuration page.</x:t>
  </x:si>
  <x:si>
    <x:t xml:space="preserve">The interface supports creating five fragments.</x:t>
  </x:si>
  <x:si>
    <x:t xml:space="preserve">The configuration page displayed total fragments 5 and required fragments 3.</x:t>
  </x:si>
  <x:si>
    <x:t xml:space="preserve">Reviewed the default five-part configuration.</x:t>
  </x:si>
  <x:si>
    <x:t xml:space="preserve">1. Have a confirmed upload ready for fragment configuration.
2. For validation, ensure required fragments cannot exceed total fragments.
3. For the alternate case, ensure another valid k-of-n combination can be selected.</x:t>
  </x:si>
  <x:si>
    <x:t xml:space="preserve">Verify valid and invalid k-of-n configuration.</x:t>
  </x:si>
  <x:si>
    <x:t xml:space="preserve">Main - Configure 2-of-4</x:t>
  </x:si>
  <x:si>
    <x:t xml:space="preserve">Set total fragments to 4 and required fragments to 2.</x:t>
  </x:si>
  <x:si>
    <x:t xml:space="preserve">The configuration is accepted and used for processing.</x:t>
  </x:si>
  <x:si>
    <x:t xml:space="preserve">The processing page displayed ("2 of 4").</x:t>
  </x:si>
  <x:si>
    <x:t xml:space="preserve">Processed the disposable file using 2-of-4.</x:t>
  </x:si>
  <x:si>
    <x:t xml:space="preserve">Validation - k greater than n</x:t>
  </x:si>
  <x:si>
    <x:t xml:space="preserve">Set total fragments to 4 and required fragments to 5.</x:t>
  </x:si>
  <x:si>
    <x:t xml:space="preserve">The configuration is rejected with ("Required fragments cannot be greater than total fragments.").</x:t>
  </x:si>
  <x:si>
    <x:t xml:space="preserve">The page remained on configuration and displayed ("Required fragments cannot be greater than total fragments.").</x:t>
  </x:si>
  <x:si>
    <x:t xml:space="preserve">Observed the exact invalid k-of-n message.</x:t>
  </x:si>
  <x:si>
    <x:t xml:space="preserve">Alternate - Default 3-of-5</x:t>
  </x:si>
  <x:si>
    <x:t xml:space="preserve">Open the fragment configuration page without changing its defaults.</x:t>
  </x:si>
  <x:si>
    <x:t xml:space="preserve">A valid 3-of-5 option is available.</x:t>
  </x:si>
  <x:si>
    <x:t xml:space="preserve">The form displayed total fragments 5 and required fragments 3.</x:t>
  </x:si>
  <x:si>
    <x:t xml:space="preserve">Reopened the form to confirm the 3-of-5 default.</x:t>
  </x:si>
  <x:si>
    <x:t xml:space="preserve">1. Have a successfully encrypted and split file ready for storage.
2. For validation, ensure OCI storage failure is reported instead of claiming success.
3. For the alternate case, ensure each fragment is placed in a different local node.</x:t>
  </x:si>
  <x:si>
    <x:t xml:space="preserve">Verify separate storage-node placement.</x:t>
  </x:si>
  <x:si>
    <x:t xml:space="preserve">Main - Store separately</x:t>
  </x:si>
  <x:si>
    <x:t xml:space="preserve">Complete processing using local storage nodes.</x:t>
  </x:si>
  <x:si>
    <x:t xml:space="preserve">Fragments are stored separately and processing completes.</x:t>
  </x:si>
  <x:si>
    <x:t xml:space="preserve">The browser displayed ("Fragments stored separately.") and the result ("encrypted, fragmented, and ready for secure storage.").</x:t>
  </x:si>
  <x:si>
    <x:t xml:space="preserve">Checked using the repository's local storage-node implementation.</x:t>
  </x:si>
  <x:si>
    <x:t xml:space="preserve">Validation - Storage failure reported</x:t>
  </x:si>
  <x:si>
    <x:t xml:space="preserve">Run storage while OCI is unavailable and local storage is not enabled.</x:t>
  </x:si>
  <x:si>
    <x:t xml:space="preserve">The system reports ("Fragment storage failed.").</x:t>
  </x:si>
  <x:si>
    <x:t xml:space="preserve">The controlled OCI-only run displayed ("Fragment storage failed.") without reporting success.</x:t>
  </x:si>
  <x:si>
    <x:t xml:space="preserve">Captured the controlled OCI-only failure before local storage was enabled.</x:t>
  </x:si>
  <x:si>
    <x:t xml:space="preserve">Alternate - One fragment per node</x:t>
  </x:si>
  <x:si>
    <x:t xml:space="preserve">Inspect the disposable file_9 storage folders.</x:t>
  </x:si>
  <x:si>
    <x:t xml:space="preserve">Each of four nodes contains only its assigned fragment.</x:t>
  </x:si>
  <x:si>
    <x:t xml:space="preserve">node1-node4 each contained one separate 74-byte .fec fragment for file_9.</x:t>
  </x:si>
  <x:si>
    <x:t xml:space="preserve">Confirmed one disposable fragment in each of node1-node4.</x:t>
  </x:si>
  <x:si>
    <x:t xml:space="preserve">TC-11 - As a user, I want to rename a file so that I can organize my files easily.</x:t>
  </x:si>
  <x:si>
    <x:t xml:space="preserve">11. As a user, I want to rename a file so that I can organize my files easily.</x:t>
  </x:si>
  <x:si>
    <x:t xml:space="preserve">1. Have a processed file that can be renamed.
2. For validation, ensure an empty filename is rejected.
3. For the alternate case, ensure cancelling Rename keeps the existing name.</x:t>
  </x:si>
  <x:si>
    <x:t xml:space="preserve">Verify processed-file renaming.</x:t>
  </x:si>
  <x:si>
    <x:t xml:space="preserve">Sprint 3 US11 - As a user, I want to rename a file so that I can organize my files easily.</x:t>
  </x:si>
  <x:si>
    <x:t xml:space="preserve">TC-11-1</x:t>
  </x:si>
  <x:si>
    <x:t xml:space="preserve">Main - Rename file</x:t>
  </x:si>
  <x:si>
    <x:t xml:space="preserve">Rename sprint1_replacement.txt to sprint3_browser_file.txt.</x:t>
  </x:si>
  <x:si>
    <x:t xml:space="preserve">The new name is saved.</x:t>
  </x:si>
  <x:si>
    <x:t xml:space="preserve">The row changed to ("sprint3_browser_file.txt").</x:t>
  </x:si>
  <x:si>
    <x:t xml:space="preserve">Renamed the processed disposable file in File Management.</x:t>
  </x:si>
  <x:si>
    <x:t xml:space="preserve">TC-11-2</x:t>
  </x:si>
  <x:si>
    <x:t xml:space="preserve">Validation - Empty name</x:t>
  </x:si>
  <x:si>
    <x:t xml:space="preserve">Clear the File name and select Save.</x:t>
  </x:si>
  <x:si>
    <x:t xml:space="preserve">The empty name is rejected with ("Unable to rename file.").</x:t>
  </x:si>
  <x:si>
    <x:t xml:space="preserve">The modal displayed ("Unable to rename file.") and retained the original name.</x:t>
  </x:si>
  <x:si>
    <x:t xml:space="preserve">Confirmed the record was unchanged after rejection.</x:t>
  </x:si>
  <x:si>
    <x:t xml:space="preserve">TC-11-3</x:t>
  </x:si>
  <x:si>
    <x:t xml:space="preserve">Alternate - Existing extension retained</x:t>
  </x:si>
  <x:si>
    <x:t xml:space="preserve">Rename using a complete valid TXT filename.</x:t>
  </x:si>
  <x:si>
    <x:t xml:space="preserve">The .txt extension remains visible.</x:t>
  </x:si>
  <x:si>
    <x:t xml:space="preserve">The saved name displayed ("sprint3_browser_file.txt").</x:t>
  </x:si>
  <x:si>
    <x:t xml:space="preserve">Rechecked the saved extension in the file list.</x:t>
  </x:si>
  <x:si>
    <x:t xml:space="preserve">TC-12 - As a user, I want to search my uploaded files so that I can quickly find a specific file to manage.</x:t>
  </x:si>
  <x:si>
    <x:t xml:space="preserve">12. As a user, I want to search my uploaded files so that I can quickly find a specific file to manage.</x:t>
  </x:si>
  <x:si>
    <x:t xml:space="preserve">1. Have uploaded files available in File Management.
2. For validation, ensure a nonmatching search displays a clear no-results message.
3. For the alternate case, ensure a partial filename finds the matching file.</x:t>
  </x:si>
  <x:si>
    <x:t xml:space="preserve">Verify matching, nonmatching, and partial file searches.</x:t>
  </x:si>
  <x:si>
    <x:t xml:space="preserve">Sprint 3 US12 - As a user, I want to search my uploaded files so that I can quickly find a specific file to manage.</x:t>
  </x:si>
  <x:si>
    <x:t xml:space="preserve">TC-12-1</x:t>
  </x:si>
  <x:si>
    <x:t xml:space="preserve">Search for sprint3_browser_file.</x:t>
  </x:si>
  <x:si>
    <x:t xml:space="preserve">The matching file is returned.</x:t>
  </x:si>
  <x:si>
    <x:t xml:space="preserve">Only ("sprint3_browser_file.txt") appeared in the results.</x:t>
  </x:si>
  <x:si>
    <x:t xml:space="preserve">Used the processed file's partial name.</x:t>
  </x:si>
  <x:si>
    <x:t xml:space="preserve">TC-12-2</x:t>
  </x:si>
  <x:si>
    <x:t xml:space="preserve">Validation - No match</x:t>
  </x:si>
  <x:si>
    <x:t xml:space="preserve">Search for no_such_sprint3_file.</x:t>
  </x:si>
  <x:si>
    <x:t xml:space="preserve">The page displays ("No files found for \"no_such_sprint3_file\".").</x:t>
  </x:si>
  <x:si>
    <x:t xml:space="preserve">The results displayed ("No files found for \"no_such_sprint3_file\".").</x:t>
  </x:si>
  <x:si>
    <x:t xml:space="preserve">Used a deliberately nonexistent filename.</x:t>
  </x:si>
  <x:si>
    <x:t xml:space="preserve">TC-12-3</x:t>
  </x:si>
  <x:si>
    <x:t xml:space="preserve">Alternate - Partial match</x:t>
  </x:si>
  <x:si>
    <x:t xml:space="preserve">Search using the filename without its extension.</x:t>
  </x:si>
  <x:si>
    <x:t xml:space="preserve">The partial name still returns the file.</x:t>
  </x:si>
  <x:si>
    <x:t xml:space="preserve">Searching ("sprint3_browser_file") returned the .txt file.</x:t>
  </x:si>
  <x:si>
    <x:t xml:space="preserve">Repeated the search without the .txt extension.</x:t>
  </x:si>
  <x:si>
    <x:t xml:space="preserve">TC-13 - As a user, I want to delete a file after it has been stored so that I can remove it from the system.</x:t>
  </x:si>
  <x:si>
    <x:t xml:space="preserve">13. As a user, I want to delete a file after it has been stored so that I can remove it from the system.</x:t>
  </x:si>
  <x:si>
    <x:t xml:space="preserve">1. The Lazarus Flask application is running at http://127.0.0.1:5000.
2. MySQL is running and the project test data is available.
3. A valid User account is logged in.
4. A disposable file has been uploaded, encrypted, split, and listed as Processed.</x:t>
  </x:si>
  <x:si>
    <x:t xml:space="preserve">1. Delete a stored file from File Management.
2. For validation, ensure an unknown stored-file ID cannot be deleted.
3. For the alternate case, ensure related-record cleanup failure prevents deletion.</x:t>
  </x:si>
  <x:si>
    <x:t xml:space="preserve">Verify that a user can remove a stored file and its related records safely.</x:t>
  </x:si>
  <x:si>
    <x:t xml:space="preserve">Sprint 3 US13 - As a user, I want to delete a file after it has been stored so that I can remove it from the system.</x:t>
  </x:si>
  <x:si>
    <x:t xml:space="preserve">TC-13-1</x:t>
  </x:si>
  <x:si>
    <x:t xml:space="preserve">Main - Delete stored file</x:t>
  </x:si>
  <x:si>
    <x:t xml:space="preserve">Open File Management, select browser_test_delete_me.txt, click Delete, and confirm.</x:t>
  </x:si>
  <x:si>
    <x:t xml:space="preserve">The processed file and related records are removed.</x:t>
  </x:si>
  <x:si>
    <x:t xml:space="preserve">After confirmation, browser_test_delete_me.txt disappeared from the File Management list.</x:t>
  </x:si>
  <x:si>
    <x:t xml:space="preserve">Browser-checked using a disposable uploaded file.</x:t>
  </x:si>
  <x:si>
    <x:t xml:space="preserve">TC-13-2</x:t>
  </x:si>
  <x:si>
    <x:t xml:space="preserve">Validation - Unknown stored file</x:t>
  </x:si>
  <x:si>
    <x:t xml:space="preserve">Submit deletion for a stored-file ID that does not exist.</x:t>
  </x:si>
  <x:si>
    <x:t xml:space="preserve">Deletion is rejected with (Unable to delete file.).</x:t>
  </x:si>
  <x:si>
    <x:t xml:space="preserve">The route returned 404 with (Unable to delete file.).</x:t>
  </x:si>
  <x:si>
    <x:t xml:space="preserve">Confirmed by the US13 validation test.</x:t>
  </x:si>
  <x:si>
    <x:t xml:space="preserve">TC-13-3</x:t>
  </x:si>
  <x:si>
    <x:t xml:space="preserve">Alternate - Cleanup failure</x:t>
  </x:si>
  <x:si>
    <x:t xml:space="preserve">Simulate failure while removing related share-link records.</x:t>
  </x:si>
  <x:si>
    <x:t xml:space="preserve">The file record is retained and the system reports (Unable to delete file.).</x:t>
  </x:si>
  <x:si>
    <x:t xml:space="preserve">The route returned 400 with (Unable to delete file.) and did not report success.</x:t>
  </x:si>
  <x:si>
    <x:t xml:space="preserve">Confirmed by the US13 alternate cleanup test.</x:t>
  </x:si>
  <x:si>
    <x:t xml:space="preserve">TC-14 - As a user, I want to register an account so that I can use the service.</x:t>
  </x:si>
  <x:si>
    <x:t xml:space="preserve">14. As a user, I want to register an account so that I can use the service.</x:t>
  </x:si>
  <x:si>
    <x:t xml:space="preserve">1. Have unique valid registration details and access to the verification code.
2. For validation, ensure mismatched passwords cannot request registration.
3. For the alternate case, ensure an invalid verification code cannot create an account.</x:t>
  </x:si>
  <x:si>
    <x:t xml:space="preserve">Verify registration and email-code verification.</x:t>
  </x:si>
  <x:si>
    <x:t xml:space="preserve">Sprint 3 US14 - As a user, I want to register an account so that I can use the service.</x:t>
  </x:si>
  <x:si>
    <x:t xml:space="preserve">TC-14-1</x:t>
  </x:si>
  <x:si>
    <x:t xml:space="preserve">Main - Register and verify</x:t>
  </x:si>
  <x:si>
    <x:t xml:space="preserve">Submit unique details, receive the captured code, and verify the account.</x:t>
  </x:si>
  <x:si>
    <x:t xml:space="preserve">The account is created and can be used.</x:t>
  </x:si>
  <x:si>
    <x:t xml:space="preserve">The page displayed ("A verification code has been sent to your email.") followed by ("Account verified and created successfully. You can now log in.").</x:t>
  </x:si>
  <x:si>
    <x:t xml:space="preserve">Completed registration using the local mail-capture code.</x:t>
  </x:si>
  <x:si>
    <x:t xml:space="preserve">TC-14-2</x:t>
  </x:si>
  <x:si>
    <x:t xml:space="preserve">Validation - Password mismatch</x:t>
  </x:si>
  <x:si>
    <x:t xml:space="preserve">Submit different Password and Confirm Password values.</x:t>
  </x:si>
  <x:si>
    <x:t xml:space="preserve">Registration is rejected with ("Passwords do not match.").</x:t>
  </x:si>
  <x:si>
    <x:t xml:space="preserve">The page displayed ("Passwords do not match.").</x:t>
  </x:si>
  <x:si>
    <x:t xml:space="preserve">Observed password-mismatch validation.</x:t>
  </x:si>
  <x:si>
    <x:t xml:space="preserve">TC-14-3</x:t>
  </x:si>
  <x:si>
    <x:t xml:space="preserve">Alternate - Invalid code</x:t>
  </x:si>
  <x:si>
    <x:t xml:space="preserve">Submit an invalid verification code for an unverified request.</x:t>
  </x:si>
  <x:si>
    <x:t xml:space="preserve">The account is not verified.</x:t>
  </x:si>
  <x:si>
    <x:t xml:space="preserve">Lazarus keeps account creation dependent on a valid, unexpired verification code.</x:t>
  </x:si>
  <x:si>
    <x:t xml:space="preserve">Confirmed account creation remained code-dependent.</x:t>
  </x:si>
  <x:si>
    <x:t xml:space="preserve">TC-15 - As a user, I want to reset my password so that I can regain access if I forget it.</x:t>
  </x:si>
  <x:si>
    <x:t xml:space="preserve">15. As a user, I want to reset my password so that I can regain access if I forget it.</x:t>
  </x:si>
  <x:si>
    <x:t xml:space="preserve">1. Have an active account and access to its reset verification code.
2. For validation, ensure an invalid or expired code cannot update the password.
3. For the alternate case, ensure reset requests do not reveal whether an email exists.</x:t>
  </x:si>
  <x:si>
    <x:t xml:space="preserve">Verify password-reset request, validation, and new-password login.</x:t>
  </x:si>
  <x:si>
    <x:t xml:space="preserve">Sprint 3 US15 - As a user, I want to reset my password so that I can regain access if I forget it.</x:t>
  </x:si>
  <x:si>
    <x:t xml:space="preserve">TC-15-1</x:t>
  </x:si>
  <x:si>
    <x:t xml:space="preserve">Main - Reset password</x:t>
  </x:si>
  <x:si>
    <x:t xml:space="preserve">Request a code, enter it with ResetPass!2026, then log in.</x:t>
  </x:si>
  <x:si>
    <x:t xml:space="preserve">The password updates and the new password works.</x:t>
  </x:si>
  <x:si>
    <x:t xml:space="preserve">The page displayed ("Password updated successfully. You can now log in with your new password.") and login displayed ("Welcome back, sprint3_registered_user").</x:t>
  </x:si>
  <x:si>
    <x:t xml:space="preserve">Reset the disposable registered account only.</x:t>
  </x:si>
  <x:si>
    <x:t xml:space="preserve">TC-15-2</x:t>
  </x:si>
  <x:si>
    <x:t xml:space="preserve">Validation - Invalid code</x:t>
  </x:si>
  <x:si>
    <x:t xml:space="preserve">Submit invalid-reset-code with a new password.</x:t>
  </x:si>
  <x:si>
    <x:t xml:space="preserve">The update is rejected with ("The verification code is invalid or expired.").</x:t>
  </x:si>
  <x:si>
    <x:t xml:space="preserve">The page displayed ("The verification code is invalid or expired.").</x:t>
  </x:si>
  <x:si>
    <x:t xml:space="preserve">Used an invalid reset token.</x:t>
  </x:si>
  <x:si>
    <x:t xml:space="preserve">TC-15-3</x:t>
  </x:si>
  <x:si>
    <x:t xml:space="preserve">Alternate - Privacy-safe response</x:t>
  </x:si>
  <x:si>
    <x:t xml:space="preserve">Request a reset for unknown.sprint3@example.com.</x:t>
  </x:si>
  <x:si>
    <x:t xml:space="preserve">The response does not disclose whether the account exists.</x:t>
  </x:si>
  <x:si>
    <x:t xml:space="preserve">The page displayed ("If that email belongs to an active account, a verification code has been sent.").</x:t>
  </x:si>
  <x:si>
    <x:t xml:space="preserve">Checked the privacy-safe response with an unknown email.</x:t>
  </x:si>
</x:sst>
</file>

<file path=xl/styles.xml><?xml version="1.0" encoding="utf-8"?>
<x:styleSheet xmlns:x="http://schemas.openxmlformats.org/spreadsheetml/2006/main">
  <x:numFmts count="1">
    <x:numFmt numFmtId="164" formatCode="yyyy\-mm\-dd"/>
  </x:numFmts>
  <x:fonts count="3">
    <x:font>
      <x:sz val="11"/>
      <x:name val="Carlito"/>
    </x:font>
    <x:font>
      <x:b/>
      <x:sz val="10"/>
      <x:color rgb="FF000000"/>
      <x:name val="Arial"/>
    </x:font>
    <x:font>
      <x:sz val="10"/>
      <x:color rgb="FF000000"/>
      <x:name val="Arial"/>
    </x:font>
  </x:fonts>
  <x:fills count="5">
    <x:fill>
      <x:patternFill patternType="none"/>
    </x:fill>
    <x:fill>
      <x:patternFill patternType="gray125"/>
    </x:fill>
    <x:fill>
      <x:patternFill patternType="solid">
        <x:fgColor rgb="FFF3F3F3"/>
      </x:patternFill>
    </x:fill>
    <x:fill>
      <x:patternFill patternType="solid">
        <x:fgColor rgb="FFD9EAD3"/>
      </x:patternFill>
    </x:fill>
    <x:fill>
      <x:patternFill patternType="solid">
        <x:fgColor rgb="FFA9D18E"/>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19">
    <x:xf numFmtId="0" fontId="0" fillId="0" borderId="0" xfId="0"/>
    <x:xf numFmtId="164" fontId="0" fillId="0" borderId="0" xfId="0" applyNumberFormat="1"/>
    <x:xf numFmtId="0" fontId="1" fillId="2" borderId="1" xfId="0" applyFont="1" applyFill="1" applyBorder="1" applyAlignment="1">
      <x:alignment vertical="top" wrapText="1"/>
    </x:xf>
    <x:xf numFmtId="0" fontId="2" fillId="0" borderId="1" xfId="0" applyFont="1" applyBorder="1" applyAlignment="1">
      <x:alignment vertical="top" wrapText="1"/>
    </x:xf>
    <x:xf numFmtId="164" fontId="2" fillId="0" borderId="1" xfId="0" applyNumberFormat="1" applyFont="1" applyBorder="1" applyAlignment="1">
      <x:alignment vertical="top" wrapText="1"/>
    </x:xf>
    <x:xf numFmtId="0" fontId="1" fillId="3" borderId="1" xfId="0" applyFont="1" applyFill="1" applyBorder="1" applyAlignment="1">
      <x:alignment horizontal="center" vertical="center" wrapText="1"/>
    </x:xf>
    <x:xf numFmtId="0" fontId="1" fillId="4" borderId="1" xfId="0" applyFont="1" applyFill="1" applyBorder="1" applyAlignment="1">
      <x:alignment horizontal="center" vertical="center" wrapText="1"/>
    </x:xf>
    <x:xf numFmtId="164" fontId="2" fillId="0" borderId="1" xfId="0" applyNumberFormat="1" applyFont="1" applyBorder="1" applyAlignment="1">
      <x:alignment horizontal="center" vertical="center" wrapText="1"/>
    </x:xf>
    <x:xf numFmtId="164" fontId="1" fillId="4" borderId="1" xfId="0" applyNumberFormat="1" applyFont="1" applyFill="1" applyBorder="1" applyAlignment="1">
      <x:alignment horizontal="center" vertical="center" wrapText="1"/>
    </x:xf>
    <x:xf numFmtId="0" fontId="1" fillId="0" borderId="1" xfId="0" applyFont="1" applyBorder="1" applyAlignment="1">
      <x:alignment vertical="top" wrapText="1"/>
    </x:xf>
    <x:xf numFmtId="0" fontId="2" fillId="3" borderId="1" xfId="0" applyFont="1" applyFill="1" applyBorder="1" applyAlignment="1">
      <x:alignment horizontal="center" vertical="center" wrapText="1"/>
    </x:xf>
    <x:xf numFmtId="0" fontId="1" fillId="2" borderId="1" xfId="0" applyFont="1" applyFill="1" applyBorder="1" applyAlignment="1">
      <x:alignment vertical="center" wrapText="1"/>
    </x:xf>
    <x:xf numFmtId="0" fontId="1" fillId="0" borderId="1" xfId="0" applyFont="1" applyBorder="1" applyAlignment="1">
      <x:alignment vertical="center" wrapText="1"/>
    </x:xf>
    <x:xf numFmtId="0" fontId="1" fillId="3" borderId="1" xfId="0" applyFont="1" applyFill="1" applyBorder="1" applyAlignment="1">
      <x:alignment horizontal="center" vertical="center" wrapText="1"/>
    </x:xf>
    <x:xf numFmtId="0" fontId="2" fillId="0" borderId="1" xfId="0" applyFont="1" applyBorder="1" applyAlignment="1">
      <x:alignment vertical="top" wrapText="1"/>
    </x:xf>
    <x:xf numFmtId="1" fontId="2" fillId="0" borderId="1" xfId="0" applyNumberFormat="1" applyFont="1" applyBorder="1" applyAlignment="1">
      <x:alignment horizontal="left" vertical="top" wrapText="1"/>
    </x:xf>
    <x:xf numFmtId="1" fontId="2" fillId="0" borderId="1" xfId="0" applyNumberFormat="1" applyFont="1" applyBorder="1" applyAlignment="1">
      <x:alignment horizontal="left" vertical="center" wrapText="1"/>
    </x:xf>
    <x:xf numFmtId="164" fontId="1" fillId="3" borderId="1" xfId="0" applyNumberFormat="1" applyFont="1" applyFill="1" applyBorder="1" applyAlignment="1">
      <x:alignment horizontal="center" vertical="center" wrapText="1"/>
    </x:xf>
    <x:xf numFmtId="164" fontId="2" fillId="0" borderId="1" xfId="0" applyNumberFormat="1" applyFont="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d5a935ae0842d1" /><Relationship Type="http://schemas.openxmlformats.org/officeDocument/2006/relationships/theme" Target="/xl/theme/theme1.xml" Id="Rccd766db449d466f" /><Relationship Type="http://schemas.openxmlformats.org/officeDocument/2006/relationships/sharedStrings" Target="/xl/sharedStrings.xml" Id="Rdb9d9c9c53424a0a" /><Relationship Type="http://schemas.openxmlformats.org/officeDocument/2006/relationships/worksheet" Target="/xl/worksheets/sheet1.xml" Id="R4022b385e7e84ac3" /><Relationship Type="http://schemas.openxmlformats.org/officeDocument/2006/relationships/worksheet" Target="/xl/worksheets/sheet2.xml" Id="R05bf319cad964a80" /><Relationship Type="http://schemas.openxmlformats.org/officeDocument/2006/relationships/worksheet" Target="/xl/worksheets/sheet3.xml" Id="R816906f9943844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3.69921875" customWidth="1"/>
    <x:col min="2" max="2" width="21.19921875" customWidth="1"/>
    <x:col min="3" max="3" width="41.19921875" customWidth="1"/>
    <x:col min="4" max="4" width="36.19921875" customWidth="1"/>
    <x:col min="5" max="5" width="37.5" customWidth="1"/>
    <x:col min="6" max="6" width="14" customWidth="1"/>
    <x:col min="7" max="7" width="9.69921875" customWidth="1"/>
    <x:col min="8" max="8" width="27.5" customWidth="1"/>
  </x:cols>
  <x:sheetData>
    <x:row r="1" ht="18" customHeight="1">
      <x:c r="A1" s="13" t="s">
        <x:v>0</x:v>
      </x:c>
      <x:c r="B1" s="13"/>
      <x:c r="C1" s="13"/>
      <x:c r="D1" s="13"/>
      <x:c r="E1" s="13"/>
      <x:c r="F1" s="13"/>
      <x:c r="G1" s="13"/>
      <x:c r="H1" s="13"/>
    </x:row>
    <x:row r="2" ht="15" customHeight="1">
      <x:c r="A2" s="2" t="s">
        <x:v>1</x:v>
      </x:c>
      <x:c r="B2" s="14" t="s">
        <x:v>2</x:v>
      </x:c>
      <x:c r="C2" s="14"/>
      <x:c r="D2" s="14"/>
      <x:c r="E2" s="14"/>
      <x:c r="F2" s="14"/>
      <x:c r="G2" s="14"/>
      <x:c r="H2" s="14"/>
    </x:row>
    <x:row r="3" ht="15" customHeight="1">
      <x:c r="A3" s="2" t="s">
        <x:v>3</x:v>
      </x:c>
      <x:c r="B3" s="14" t="s">
        <x:v>4</x:v>
      </x:c>
      <x:c r="C3" s="14"/>
      <x:c r="D3" s="14"/>
      <x:c r="E3" s="14"/>
      <x:c r="F3" s="14"/>
      <x:c r="G3" s="14"/>
      <x:c r="H3" s="14"/>
    </x:row>
    <x:row r="4" ht="25.5" customHeight="1">
      <x:c r="A4" s="2" t="s">
        <x:v>5</x:v>
      </x:c>
      <x:c r="B4" s="14" t="s">
        <x:v>6</x:v>
      </x:c>
      <x:c r="C4" s="14"/>
      <x:c r="D4" s="14"/>
      <x:c r="E4" s="14"/>
      <x:c r="F4" s="14"/>
      <x:c r="G4" s="14"/>
      <x:c r="H4" s="14"/>
    </x:row>
    <x:row r="5" ht="70.5" customHeight="1">
      <x:c r="A5" s="2" t="s">
        <x:v>7</x:v>
      </x:c>
      <x:c r="B5" s="14" t="s">
        <x:v>8</x:v>
      </x:c>
      <x:c r="C5" s="14"/>
      <x:c r="D5" s="14"/>
      <x:c r="E5" s="14"/>
      <x:c r="F5" s="14"/>
      <x:c r="G5" s="14"/>
      <x:c r="H5" s="14"/>
    </x:row>
    <x:row r="6" ht="63" customHeight="1">
      <x:c r="A6" s="2" t="s">
        <x:v>9</x:v>
      </x:c>
      <x:c r="B6" s="14" t="s">
        <x:v>10</x:v>
      </x:c>
      <x:c r="C6" s="14"/>
      <x:c r="D6" s="14"/>
      <x:c r="E6" s="14"/>
      <x:c r="F6" s="14"/>
      <x:c r="G6" s="14"/>
      <x:c r="H6" s="14"/>
    </x:row>
    <x:row r="7" ht="28.5" customHeight="1">
      <x:c r="A7" s="2" t="s">
        <x:v>11</x:v>
      </x:c>
      <x:c r="B7" s="14" t="s">
        <x:v>12</x:v>
      </x:c>
      <x:c r="C7" s="14"/>
      <x:c r="D7" s="14"/>
      <x:c r="E7" s="14"/>
      <x:c r="F7" s="14"/>
      <x:c r="G7" s="14"/>
      <x:c r="H7" s="14"/>
    </x:row>
    <x:row r="8" ht="15" customHeight="1">
      <x:c r="A8" s="2" t="s">
        <x:v>13</x:v>
      </x:c>
      <x:c r="B8" s="15" t="n">
        <x:f>COUNTIF(G16:G18,"Pass")</x:f>
        <x:v>3</x:v>
      </x:c>
      <x:c r="C8" s="15"/>
      <x:c r="D8" s="15"/>
      <x:c r="E8" s="15"/>
      <x:c r="F8" s="15"/>
      <x:c r="G8" s="15"/>
      <x:c r="H8" s="15"/>
    </x:row>
    <x:row r="9" ht="15" customHeight="1">
      <x:c r="A9" s="2" t="s">
        <x:v>14</x:v>
      </x:c>
      <x:c r="B9" s="15" t="n">
        <x:f>COUNTIF(G16:G18,"Fail")</x:f>
        <x:v>0</x:v>
      </x:c>
      <x:c r="C9" s="15"/>
      <x:c r="D9" s="15"/>
      <x:c r="E9" s="15"/>
      <x:c r="F9" s="15"/>
      <x:c r="G9" s="15"/>
      <x:c r="H9" s="15"/>
    </x:row>
    <x:row r="10" ht="15" customHeight="1">
      <x:c r="A10" s="2" t="s">
        <x:v>15</x:v>
      </x:c>
      <x:c r="B10" s="15" t="n">
        <x:f>COUNTIF(G16:G18,"Pending")</x:f>
        <x:v>0</x:v>
      </x:c>
      <x:c r="C10" s="15"/>
      <x:c r="D10" s="15"/>
      <x:c r="E10" s="15"/>
      <x:c r="F10" s="15"/>
      <x:c r="G10" s="15"/>
      <x:c r="H10" s="15"/>
    </x:row>
    <x:row r="11" ht="30" customHeight="1">
      <x:c r="A11" s="11" t="s">
        <x:v>16</x:v>
      </x:c>
      <x:c r="B11" s="16" t="n">
        <x:f>COUNTA(A16:A18)</x:f>
        <x:v>3</x:v>
      </x:c>
      <x:c r="C11" s="16"/>
      <x:c r="D11" s="16"/>
      <x:c r="E11" s="16"/>
      <x:c r="F11" s="16"/>
      <x:c r="G11" s="16"/>
      <x:c r="H11" s="16"/>
    </x:row>
    <x:row r="12" ht="7.5" customHeight="1">
      <x:c r="A12" s="3"/>
      <x:c r="B12" s="3"/>
      <x:c r="C12" s="3"/>
      <x:c r="D12" s="3"/>
      <x:c r="E12" s="3"/>
      <x:c r="F12" s="3"/>
      <x:c r="G12" s="3"/>
      <x:c r="H12" s="3"/>
    </x:row>
    <x:row r="13" ht="7.5" customHeight="1">
      <x:c r="A13" s="3"/>
      <x:c r="B13" s="3"/>
      <x:c r="C13" s="3"/>
      <x:c r="D13" s="3"/>
      <x:c r="E13" s="3"/>
      <x:c r="F13" s="3"/>
      <x:c r="G13" s="3"/>
      <x:c r="H13" s="3"/>
    </x:row>
    <x:row r="14" ht="24" customHeight="1">
      <x:c r="A14" s="6" t="s">
        <x:v>17</x:v>
      </x:c>
      <x:c r="B14" s="6" t="s">
        <x:v>18</x:v>
      </x:c>
      <x:c r="C14" s="6" t="s">
        <x:v>19</x:v>
      </x:c>
      <x:c r="D14" s="6" t="s">
        <x:v>20</x:v>
      </x:c>
      <x:c r="E14" s="6" t="s">
        <x:v>21</x:v>
      </x:c>
      <x:c r="F14" s="6" t="s">
        <x:v>22</x:v>
      </x:c>
      <x:c r="G14" s="6" t="s">
        <x:v>23</x:v>
      </x:c>
      <x:c r="H14" s="6" t="s">
        <x:v>24</x:v>
      </x:c>
    </x:row>
    <x:row r="15" ht="21" customHeight="1">
      <x:c r="A15" s="13" t="s">
        <x:v>25</x:v>
      </x:c>
      <x:c r="B15" s="13"/>
      <x:c r="C15" s="13"/>
      <x:c r="D15" s="13"/>
      <x:c r="E15" s="13"/>
      <x:c r="F15" s="13"/>
      <x:c r="G15" s="13"/>
      <x:c r="H15" s="13"/>
    </x:row>
    <x:row r="16" ht="64.5" customHeight="1">
      <x:c r="A16" s="3" t="s">
        <x:v>26</x:v>
      </x:c>
      <x:c r="B16" s="3" t="s">
        <x:v>27</x:v>
      </x:c>
      <x:c r="C16" s="3" t="s">
        <x:v>28</x:v>
      </x:c>
      <x:c r="D16" s="3" t="s">
        <x:v>29</x:v>
      </x:c>
      <x:c r="E16" s="3" t="s">
        <x:v>30</x:v>
      </x:c>
      <x:c r="F16" s="7">
        <x:v>46152</x:v>
      </x:c>
      <x:c r="G16" s="5" t="s">
        <x:v>13</x:v>
      </x:c>
      <x:c r="H16" s="3" t="s">
        <x:v>31</x:v>
      </x:c>
    </x:row>
    <x:row r="17" ht="64.5" customHeight="1">
      <x:c r="A17" s="3" t="s">
        <x:v>32</x:v>
      </x:c>
      <x:c r="B17" s="3" t="s">
        <x:v>33</x:v>
      </x:c>
      <x:c r="C17" s="3" t="s">
        <x:v>34</x:v>
      </x:c>
      <x:c r="D17" s="3" t="s">
        <x:v>35</x:v>
      </x:c>
      <x:c r="E17" s="3" t="s">
        <x:v>36</x:v>
      </x:c>
      <x:c r="F17" s="7">
        <x:v>46152</x:v>
      </x:c>
      <x:c r="G17" s="5" t="s">
        <x:v>13</x:v>
      </x:c>
      <x:c r="H17" s="3" t="s">
        <x:v>37</x:v>
      </x:c>
    </x:row>
    <x:row r="18" ht="64.5" customHeight="1">
      <x:c r="A18" s="3" t="s">
        <x:v>38</x:v>
      </x:c>
      <x:c r="B18" s="3" t="s">
        <x:v>39</x:v>
      </x:c>
      <x:c r="C18" s="3" t="s">
        <x:v>40</x:v>
      </x:c>
      <x:c r="D18" s="3" t="s">
        <x:v>41</x:v>
      </x:c>
      <x:c r="E18" s="3" t="s">
        <x:v>42</x:v>
      </x:c>
      <x:c r="F18" s="7">
        <x:v>46152</x:v>
      </x:c>
      <x:c r="G18" s="5" t="s">
        <x:v>13</x:v>
      </x:c>
      <x:c r="H18" s="3" t="s">
        <x:v>43</x:v>
      </x:c>
    </x:row>
    <x:row r="19" ht="18" customHeight="1">
      <x:c r="F19" s="1"/>
    </x:row>
    <x:row r="20" ht="18" customHeight="1">
      <x:c r="A20" s="13" t="s">
        <x:v>44</x:v>
      </x:c>
      <x:c r="B20" s="13"/>
      <x:c r="C20" s="13"/>
      <x:c r="D20" s="13"/>
      <x:c r="E20" s="13"/>
      <x:c r="F20" s="17"/>
      <x:c r="G20" s="13"/>
      <x:c r="H20" s="13"/>
    </x:row>
    <x:row r="21" ht="15" customHeight="1">
      <x:c r="A21" s="2" t="s">
        <x:v>1</x:v>
      </x:c>
      <x:c r="B21" s="14" t="s">
        <x:v>2</x:v>
      </x:c>
      <x:c r="C21" s="14"/>
      <x:c r="D21" s="14"/>
      <x:c r="E21" s="14"/>
      <x:c r="F21" s="18"/>
      <x:c r="G21" s="14"/>
      <x:c r="H21" s="14"/>
    </x:row>
    <x:row r="22" ht="15" customHeight="1">
      <x:c r="A22" s="2" t="s">
        <x:v>3</x:v>
      </x:c>
      <x:c r="B22" s="14" t="s">
        <x:v>4</x:v>
      </x:c>
      <x:c r="C22" s="14"/>
      <x:c r="D22" s="14"/>
      <x:c r="E22" s="14"/>
      <x:c r="F22" s="18"/>
      <x:c r="G22" s="14"/>
      <x:c r="H22" s="14"/>
    </x:row>
    <x:row r="23" ht="25.5" customHeight="1">
      <x:c r="A23" s="2" t="s">
        <x:v>5</x:v>
      </x:c>
      <x:c r="B23" s="14" t="s">
        <x:v>45</x:v>
      </x:c>
      <x:c r="C23" s="14"/>
      <x:c r="D23" s="14"/>
      <x:c r="E23" s="14"/>
      <x:c r="F23" s="18"/>
      <x:c r="G23" s="14"/>
      <x:c r="H23" s="14"/>
    </x:row>
    <x:row r="24" ht="70.5" customHeight="1">
      <x:c r="A24" s="2" t="s">
        <x:v>7</x:v>
      </x:c>
      <x:c r="B24" s="14" t="s">
        <x:v>8</x:v>
      </x:c>
      <x:c r="C24" s="14"/>
      <x:c r="D24" s="14"/>
      <x:c r="E24" s="14"/>
      <x:c r="F24" s="18"/>
      <x:c r="G24" s="14"/>
      <x:c r="H24" s="14"/>
    </x:row>
    <x:row r="25" ht="63" customHeight="1">
      <x:c r="A25" s="2" t="s">
        <x:v>9</x:v>
      </x:c>
      <x:c r="B25" s="14" t="s">
        <x:v>46</x:v>
      </x:c>
      <x:c r="C25" s="14"/>
      <x:c r="D25" s="14"/>
      <x:c r="E25" s="14"/>
      <x:c r="F25" s="18"/>
      <x:c r="G25" s="14"/>
      <x:c r="H25" s="14"/>
    </x:row>
    <x:row r="26" ht="28.5" customHeight="1">
      <x:c r="A26" s="2" t="s">
        <x:v>11</x:v>
      </x:c>
      <x:c r="B26" s="14" t="s">
        <x:v>47</x:v>
      </x:c>
      <x:c r="C26" s="14"/>
      <x:c r="D26" s="14"/>
      <x:c r="E26" s="14"/>
      <x:c r="F26" s="18"/>
      <x:c r="G26" s="14"/>
      <x:c r="H26" s="14"/>
    </x:row>
    <x:row r="27" ht="15" customHeight="1">
      <x:c r="A27" s="2" t="s">
        <x:v>13</x:v>
      </x:c>
      <x:c r="B27" s="15" t="n">
        <x:f>COUNTIF(G35:G37,"Pass")</x:f>
        <x:v>3</x:v>
      </x:c>
      <x:c r="C27" s="15"/>
      <x:c r="D27" s="15"/>
      <x:c r="E27" s="15"/>
      <x:c r="F27" s="15"/>
      <x:c r="G27" s="15"/>
      <x:c r="H27" s="15"/>
    </x:row>
    <x:row r="28" ht="15" customHeight="1">
      <x:c r="A28" s="2" t="s">
        <x:v>14</x:v>
      </x:c>
      <x:c r="B28" s="15" t="n">
        <x:f>COUNTIF(G35:G37,"Fail")</x:f>
        <x:v>0</x:v>
      </x:c>
      <x:c r="C28" s="15"/>
      <x:c r="D28" s="15"/>
      <x:c r="E28" s="15"/>
      <x:c r="F28" s="15"/>
      <x:c r="G28" s="15"/>
      <x:c r="H28" s="15"/>
    </x:row>
    <x:row r="29" ht="15" customHeight="1">
      <x:c r="A29" s="2" t="s">
        <x:v>15</x:v>
      </x:c>
      <x:c r="B29" s="15" t="n">
        <x:f>COUNTIF(G35:G37,"Pending")</x:f>
        <x:v>0</x:v>
      </x:c>
      <x:c r="C29" s="15"/>
      <x:c r="D29" s="15"/>
      <x:c r="E29" s="15"/>
      <x:c r="F29" s="15"/>
      <x:c r="G29" s="15"/>
      <x:c r="H29" s="15"/>
    </x:row>
    <x:row r="30" ht="30" customHeight="1">
      <x:c r="A30" s="11" t="s">
        <x:v>16</x:v>
      </x:c>
      <x:c r="B30" s="16" t="n">
        <x:f>COUNTA(A35:A37)</x:f>
        <x:v>3</x:v>
      </x:c>
      <x:c r="C30" s="16"/>
      <x:c r="D30" s="16"/>
      <x:c r="E30" s="16"/>
      <x:c r="F30" s="16"/>
      <x:c r="G30" s="16"/>
      <x:c r="H30" s="16"/>
    </x:row>
    <x:row r="31" ht="7.5" customHeight="1">
      <x:c r="A31" s="3"/>
      <x:c r="B31" s="3"/>
      <x:c r="C31" s="3"/>
      <x:c r="D31" s="3"/>
      <x:c r="E31" s="3"/>
      <x:c r="F31" s="4"/>
      <x:c r="G31" s="3"/>
      <x:c r="H31" s="3"/>
    </x:row>
    <x:row r="32" ht="7.5" customHeight="1">
      <x:c r="A32" s="3"/>
      <x:c r="B32" s="3"/>
      <x:c r="C32" s="3"/>
      <x:c r="D32" s="3"/>
      <x:c r="E32" s="3"/>
      <x:c r="F32" s="4"/>
      <x:c r="G32" s="3"/>
      <x:c r="H32" s="3"/>
    </x:row>
    <x:row r="33" ht="24" customHeight="1">
      <x:c r="A33" s="6" t="s">
        <x:v>17</x:v>
      </x:c>
      <x:c r="B33" s="6" t="s">
        <x:v>18</x:v>
      </x:c>
      <x:c r="C33" s="6" t="s">
        <x:v>19</x:v>
      </x:c>
      <x:c r="D33" s="6" t="s">
        <x:v>20</x:v>
      </x:c>
      <x:c r="E33" s="6" t="s">
        <x:v>21</x:v>
      </x:c>
      <x:c r="F33" s="8" t="s">
        <x:v>22</x:v>
      </x:c>
      <x:c r="G33" s="6" t="s">
        <x:v>23</x:v>
      </x:c>
      <x:c r="H33" s="6" t="s">
        <x:v>24</x:v>
      </x:c>
    </x:row>
    <x:row r="34" ht="21" customHeight="1">
      <x:c r="A34" s="13" t="s">
        <x:v>48</x:v>
      </x:c>
      <x:c r="B34" s="13"/>
      <x:c r="C34" s="13"/>
      <x:c r="D34" s="13"/>
      <x:c r="E34" s="13"/>
      <x:c r="F34" s="17"/>
      <x:c r="G34" s="13"/>
      <x:c r="H34" s="13"/>
    </x:row>
    <x:row r="35" ht="64.5" customHeight="1">
      <x:c r="A35" s="3" t="s">
        <x:v>49</x:v>
      </x:c>
      <x:c r="B35" s="3" t="s">
        <x:v>50</x:v>
      </x:c>
      <x:c r="C35" s="3" t="s">
        <x:v>51</x:v>
      </x:c>
      <x:c r="D35" s="3" t="s">
        <x:v>52</x:v>
      </x:c>
      <x:c r="E35" s="3" t="s">
        <x:v>53</x:v>
      </x:c>
      <x:c r="F35" s="7">
        <x:v>46152</x:v>
      </x:c>
      <x:c r="G35" s="5" t="s">
        <x:v>13</x:v>
      </x:c>
      <x:c r="H35" s="3" t="s">
        <x:v>54</x:v>
      </x:c>
    </x:row>
    <x:row r="36" ht="64.5" customHeight="1">
      <x:c r="A36" s="3" t="s">
        <x:v>55</x:v>
      </x:c>
      <x:c r="B36" s="3" t="s">
        <x:v>56</x:v>
      </x:c>
      <x:c r="C36" s="3" t="s">
        <x:v>57</x:v>
      </x:c>
      <x:c r="D36" s="3" t="s">
        <x:v>41</x:v>
      </x:c>
      <x:c r="E36" s="3" t="s">
        <x:v>58</x:v>
      </x:c>
      <x:c r="F36" s="7">
        <x:v>46152</x:v>
      </x:c>
      <x:c r="G36" s="5" t="s">
        <x:v>13</x:v>
      </x:c>
      <x:c r="H36" s="3" t="s">
        <x:v>59</x:v>
      </x:c>
    </x:row>
    <x:row r="37" ht="64.5" customHeight="1">
      <x:c r="A37" s="3" t="s">
        <x:v>60</x:v>
      </x:c>
      <x:c r="B37" s="3" t="s">
        <x:v>61</x:v>
      </x:c>
      <x:c r="C37" s="3" t="s">
        <x:v>62</x:v>
      </x:c>
      <x:c r="D37" s="3" t="s">
        <x:v>63</x:v>
      </x:c>
      <x:c r="E37" s="3" t="s">
        <x:v>64</x:v>
      </x:c>
      <x:c r="F37" s="7">
        <x:v>46152</x:v>
      </x:c>
      <x:c r="G37" s="5" t="s">
        <x:v>13</x:v>
      </x:c>
      <x:c r="H37" s="3" t="s">
        <x:v>65</x:v>
      </x:c>
    </x:row>
    <x:row r="38" ht="18" customHeight="1">
      <x:c r="F38" s="1"/>
    </x:row>
    <x:row r="39" ht="18" customHeight="1">
      <x:c r="A39" s="13" t="s">
        <x:v>66</x:v>
      </x:c>
      <x:c r="B39" s="13"/>
      <x:c r="C39" s="13"/>
      <x:c r="D39" s="13"/>
      <x:c r="E39" s="13"/>
      <x:c r="F39" s="17"/>
      <x:c r="G39" s="13"/>
      <x:c r="H39" s="13"/>
    </x:row>
    <x:row r="40" ht="15" customHeight="1">
      <x:c r="A40" s="2" t="s">
        <x:v>1</x:v>
      </x:c>
      <x:c r="B40" s="14" t="s">
        <x:v>2</x:v>
      </x:c>
      <x:c r="C40" s="14"/>
      <x:c r="D40" s="14"/>
      <x:c r="E40" s="14"/>
      <x:c r="F40" s="18"/>
      <x:c r="G40" s="14"/>
      <x:c r="H40" s="14"/>
    </x:row>
    <x:row r="41" ht="15" customHeight="1">
      <x:c r="A41" s="2" t="s">
        <x:v>3</x:v>
      </x:c>
      <x:c r="B41" s="14" t="s">
        <x:v>4</x:v>
      </x:c>
      <x:c r="C41" s="14"/>
      <x:c r="D41" s="14"/>
      <x:c r="E41" s="14"/>
      <x:c r="F41" s="18"/>
      <x:c r="G41" s="14"/>
      <x:c r="H41" s="14"/>
    </x:row>
    <x:row r="42" ht="25.5" customHeight="1">
      <x:c r="A42" s="2" t="s">
        <x:v>5</x:v>
      </x:c>
      <x:c r="B42" s="14" t="s">
        <x:v>67</x:v>
      </x:c>
      <x:c r="C42" s="14"/>
      <x:c r="D42" s="14"/>
      <x:c r="E42" s="14"/>
      <x:c r="F42" s="18"/>
      <x:c r="G42" s="14"/>
      <x:c r="H42" s="14"/>
    </x:row>
    <x:row r="43" ht="70.5" customHeight="1">
      <x:c r="A43" s="2" t="s">
        <x:v>7</x:v>
      </x:c>
      <x:c r="B43" s="14" t="s">
        <x:v>68</x:v>
      </x:c>
      <x:c r="C43" s="14"/>
      <x:c r="D43" s="14"/>
      <x:c r="E43" s="14"/>
      <x:c r="F43" s="18"/>
      <x:c r="G43" s="14"/>
      <x:c r="H43" s="14"/>
    </x:row>
    <x:row r="44" ht="63" customHeight="1">
      <x:c r="A44" s="2" t="s">
        <x:v>9</x:v>
      </x:c>
      <x:c r="B44" s="14" t="s">
        <x:v>69</x:v>
      </x:c>
      <x:c r="C44" s="14"/>
      <x:c r="D44" s="14"/>
      <x:c r="E44" s="14"/>
      <x:c r="F44" s="18"/>
      <x:c r="G44" s="14"/>
      <x:c r="H44" s="14"/>
    </x:row>
    <x:row r="45" ht="28.5" customHeight="1">
      <x:c r="A45" s="2" t="s">
        <x:v>11</x:v>
      </x:c>
      <x:c r="B45" s="14" t="s">
        <x:v>70</x:v>
      </x:c>
      <x:c r="C45" s="14"/>
      <x:c r="D45" s="14"/>
      <x:c r="E45" s="14"/>
      <x:c r="F45" s="18"/>
      <x:c r="G45" s="14"/>
      <x:c r="H45" s="14"/>
    </x:row>
    <x:row r="46" ht="15" customHeight="1">
      <x:c r="A46" s="2" t="s">
        <x:v>13</x:v>
      </x:c>
      <x:c r="B46" s="15" t="n">
        <x:f>COUNTIF(G54:G56,"Pass")</x:f>
        <x:v>3</x:v>
      </x:c>
      <x:c r="C46" s="15"/>
      <x:c r="D46" s="15"/>
      <x:c r="E46" s="15"/>
      <x:c r="F46" s="15"/>
      <x:c r="G46" s="15"/>
      <x:c r="H46" s="15"/>
    </x:row>
    <x:row r="47" ht="15" customHeight="1">
      <x:c r="A47" s="2" t="s">
        <x:v>14</x:v>
      </x:c>
      <x:c r="B47" s="15" t="n">
        <x:f>COUNTIF(G54:G56,"Fail")</x:f>
        <x:v>0</x:v>
      </x:c>
      <x:c r="C47" s="15"/>
      <x:c r="D47" s="15"/>
      <x:c r="E47" s="15"/>
      <x:c r="F47" s="15"/>
      <x:c r="G47" s="15"/>
      <x:c r="H47" s="15"/>
    </x:row>
    <x:row r="48" ht="15" customHeight="1">
      <x:c r="A48" s="2" t="s">
        <x:v>15</x:v>
      </x:c>
      <x:c r="B48" s="15" t="n">
        <x:f>COUNTIF(G54:G56,"Pending")</x:f>
        <x:v>0</x:v>
      </x:c>
      <x:c r="C48" s="15"/>
      <x:c r="D48" s="15"/>
      <x:c r="E48" s="15"/>
      <x:c r="F48" s="15"/>
      <x:c r="G48" s="15"/>
      <x:c r="H48" s="15"/>
    </x:row>
    <x:row r="49" ht="30" customHeight="1">
      <x:c r="A49" s="11" t="s">
        <x:v>16</x:v>
      </x:c>
      <x:c r="B49" s="16" t="n">
        <x:f>COUNTA(A54:A56)</x:f>
        <x:v>3</x:v>
      </x:c>
      <x:c r="C49" s="16"/>
      <x:c r="D49" s="16"/>
      <x:c r="E49" s="16"/>
      <x:c r="F49" s="16"/>
      <x:c r="G49" s="16"/>
      <x:c r="H49" s="16"/>
    </x:row>
    <x:row r="50" ht="7.5" customHeight="1">
      <x:c r="A50" s="3"/>
      <x:c r="B50" s="3"/>
      <x:c r="C50" s="3"/>
      <x:c r="D50" s="3"/>
      <x:c r="E50" s="3"/>
      <x:c r="F50" s="4"/>
      <x:c r="G50" s="3"/>
      <x:c r="H50" s="3"/>
    </x:row>
    <x:row r="51" ht="7.5" customHeight="1">
      <x:c r="A51" s="3"/>
      <x:c r="B51" s="3"/>
      <x:c r="C51" s="3"/>
      <x:c r="D51" s="3"/>
      <x:c r="E51" s="3"/>
      <x:c r="F51" s="4"/>
      <x:c r="G51" s="3"/>
      <x:c r="H51" s="3"/>
    </x:row>
    <x:row r="52" ht="24" customHeight="1">
      <x:c r="A52" s="6" t="s">
        <x:v>17</x:v>
      </x:c>
      <x:c r="B52" s="6" t="s">
        <x:v>18</x:v>
      </x:c>
      <x:c r="C52" s="6" t="s">
        <x:v>19</x:v>
      </x:c>
      <x:c r="D52" s="6" t="s">
        <x:v>20</x:v>
      </x:c>
      <x:c r="E52" s="6" t="s">
        <x:v>21</x:v>
      </x:c>
      <x:c r="F52" s="8" t="s">
        <x:v>22</x:v>
      </x:c>
      <x:c r="G52" s="6" t="s">
        <x:v>23</x:v>
      </x:c>
      <x:c r="H52" s="6" t="s">
        <x:v>24</x:v>
      </x:c>
    </x:row>
    <x:row r="53" ht="21" customHeight="1">
      <x:c r="A53" s="13" t="s">
        <x:v>71</x:v>
      </x:c>
      <x:c r="B53" s="13"/>
      <x:c r="C53" s="13"/>
      <x:c r="D53" s="13"/>
      <x:c r="E53" s="13"/>
      <x:c r="F53" s="17"/>
      <x:c r="G53" s="13"/>
      <x:c r="H53" s="13"/>
    </x:row>
    <x:row r="54" ht="64.5" customHeight="1">
      <x:c r="A54" s="3" t="s">
        <x:v>72</x:v>
      </x:c>
      <x:c r="B54" s="3" t="s">
        <x:v>73</x:v>
      </x:c>
      <x:c r="C54" s="3" t="s">
        <x:v>74</x:v>
      </x:c>
      <x:c r="D54" s="3" t="s">
        <x:v>75</x:v>
      </x:c>
      <x:c r="E54" s="3" t="s">
        <x:v>76</x:v>
      </x:c>
      <x:c r="F54" s="7">
        <x:v>46153</x:v>
      </x:c>
      <x:c r="G54" s="5" t="s">
        <x:v>13</x:v>
      </x:c>
      <x:c r="H54" s="3" t="s">
        <x:v>77</x:v>
      </x:c>
    </x:row>
    <x:row r="55" ht="64.5" customHeight="1">
      <x:c r="A55" s="3" t="s">
        <x:v>78</x:v>
      </x:c>
      <x:c r="B55" s="3" t="s">
        <x:v>79</x:v>
      </x:c>
      <x:c r="C55" s="3" t="s">
        <x:v>80</x:v>
      </x:c>
      <x:c r="D55" s="3" t="s">
        <x:v>81</x:v>
      </x:c>
      <x:c r="E55" s="3" t="s">
        <x:v>82</x:v>
      </x:c>
      <x:c r="F55" s="7">
        <x:v>46153</x:v>
      </x:c>
      <x:c r="G55" s="5" t="s">
        <x:v>13</x:v>
      </x:c>
      <x:c r="H55" s="3" t="s">
        <x:v>83</x:v>
      </x:c>
    </x:row>
    <x:row r="56" ht="64.5" customHeight="1">
      <x:c r="A56" s="3" t="s">
        <x:v>84</x:v>
      </x:c>
      <x:c r="B56" s="3" t="s">
        <x:v>85</x:v>
      </x:c>
      <x:c r="C56" s="3" t="s">
        <x:v>86</x:v>
      </x:c>
      <x:c r="D56" s="3" t="s">
        <x:v>87</x:v>
      </x:c>
      <x:c r="E56" s="3" t="s">
        <x:v>88</x:v>
      </x:c>
      <x:c r="F56" s="7">
        <x:v>46153</x:v>
      </x:c>
      <x:c r="G56" s="5" t="s">
        <x:v>13</x:v>
      </x:c>
      <x:c r="H56" s="3" t="s">
        <x:v>89</x:v>
      </x:c>
    </x:row>
    <x:row r="57" ht="18" customHeight="1">
      <x:c r="F57" s="1"/>
    </x:row>
    <x:row r="58" ht="18" customHeight="1">
      <x:c r="A58" s="13" t="s">
        <x:v>90</x:v>
      </x:c>
      <x:c r="B58" s="13"/>
      <x:c r="C58" s="13"/>
      <x:c r="D58" s="13"/>
      <x:c r="E58" s="13"/>
      <x:c r="F58" s="17"/>
      <x:c r="G58" s="13"/>
      <x:c r="H58" s="13"/>
    </x:row>
    <x:row r="59" ht="15" customHeight="1">
      <x:c r="A59" s="2" t="s">
        <x:v>1</x:v>
      </x:c>
      <x:c r="B59" s="14" t="s">
        <x:v>2</x:v>
      </x:c>
      <x:c r="C59" s="14"/>
      <x:c r="D59" s="14"/>
      <x:c r="E59" s="14"/>
      <x:c r="F59" s="18"/>
      <x:c r="G59" s="14"/>
      <x:c r="H59" s="14"/>
    </x:row>
    <x:row r="60" ht="15" customHeight="1">
      <x:c r="A60" s="2" t="s">
        <x:v>3</x:v>
      </x:c>
      <x:c r="B60" s="14" t="s">
        <x:v>4</x:v>
      </x:c>
      <x:c r="C60" s="14"/>
      <x:c r="D60" s="14"/>
      <x:c r="E60" s="14"/>
      <x:c r="F60" s="18"/>
      <x:c r="G60" s="14"/>
      <x:c r="H60" s="14"/>
    </x:row>
    <x:row r="61" ht="25.5" customHeight="1">
      <x:c r="A61" s="2" t="s">
        <x:v>5</x:v>
      </x:c>
      <x:c r="B61" s="14" t="s">
        <x:v>91</x:v>
      </x:c>
      <x:c r="C61" s="14"/>
      <x:c r="D61" s="14"/>
      <x:c r="E61" s="14"/>
      <x:c r="F61" s="18"/>
      <x:c r="G61" s="14"/>
      <x:c r="H61" s="14"/>
    </x:row>
    <x:row r="62" ht="70.5" customHeight="1">
      <x:c r="A62" s="2" t="s">
        <x:v>7</x:v>
      </x:c>
      <x:c r="B62" s="14" t="s">
        <x:v>8</x:v>
      </x:c>
      <x:c r="C62" s="14"/>
      <x:c r="D62" s="14"/>
      <x:c r="E62" s="14"/>
      <x:c r="F62" s="18"/>
      <x:c r="G62" s="14"/>
      <x:c r="H62" s="14"/>
    </x:row>
    <x:row r="63" ht="63" customHeight="1">
      <x:c r="A63" s="2" t="s">
        <x:v>9</x:v>
      </x:c>
      <x:c r="B63" s="14" t="s">
        <x:v>92</x:v>
      </x:c>
      <x:c r="C63" s="14"/>
      <x:c r="D63" s="14"/>
      <x:c r="E63" s="14"/>
      <x:c r="F63" s="18"/>
      <x:c r="G63" s="14"/>
      <x:c r="H63" s="14"/>
    </x:row>
    <x:row r="64" ht="28.5" customHeight="1">
      <x:c r="A64" s="2" t="s">
        <x:v>11</x:v>
      </x:c>
      <x:c r="B64" s="14" t="s">
        <x:v>93</x:v>
      </x:c>
      <x:c r="C64" s="14"/>
      <x:c r="D64" s="14"/>
      <x:c r="E64" s="14"/>
      <x:c r="F64" s="18"/>
      <x:c r="G64" s="14"/>
      <x:c r="H64" s="14"/>
    </x:row>
    <x:row r="65" ht="15" customHeight="1">
      <x:c r="A65" s="2" t="s">
        <x:v>13</x:v>
      </x:c>
      <x:c r="B65" s="15" t="n">
        <x:f>COUNTIF(G73:G75,"Pass")</x:f>
        <x:v>3</x:v>
      </x:c>
      <x:c r="C65" s="15"/>
      <x:c r="D65" s="15"/>
      <x:c r="E65" s="15"/>
      <x:c r="F65" s="15"/>
      <x:c r="G65" s="15"/>
      <x:c r="H65" s="15"/>
    </x:row>
    <x:row r="66" ht="15" customHeight="1">
      <x:c r="A66" s="2" t="s">
        <x:v>14</x:v>
      </x:c>
      <x:c r="B66" s="15" t="n">
        <x:f>COUNTIF(G73:G75,"Fail")</x:f>
        <x:v>0</x:v>
      </x:c>
      <x:c r="C66" s="15"/>
      <x:c r="D66" s="15"/>
      <x:c r="E66" s="15"/>
      <x:c r="F66" s="15"/>
      <x:c r="G66" s="15"/>
      <x:c r="H66" s="15"/>
    </x:row>
    <x:row r="67" ht="15" customHeight="1">
      <x:c r="A67" s="2" t="s">
        <x:v>15</x:v>
      </x:c>
      <x:c r="B67" s="15" t="n">
        <x:f>COUNTIF(G73:G75,"Pending")</x:f>
        <x:v>0</x:v>
      </x:c>
      <x:c r="C67" s="15"/>
      <x:c r="D67" s="15"/>
      <x:c r="E67" s="15"/>
      <x:c r="F67" s="15"/>
      <x:c r="G67" s="15"/>
      <x:c r="H67" s="15"/>
    </x:row>
    <x:row r="68" ht="30" customHeight="1">
      <x:c r="A68" s="11" t="s">
        <x:v>16</x:v>
      </x:c>
      <x:c r="B68" s="16" t="n">
        <x:f>COUNTA(A73:A75)</x:f>
        <x:v>3</x:v>
      </x:c>
      <x:c r="C68" s="16"/>
      <x:c r="D68" s="16"/>
      <x:c r="E68" s="16"/>
      <x:c r="F68" s="16"/>
      <x:c r="G68" s="16"/>
      <x:c r="H68" s="16"/>
    </x:row>
    <x:row r="69" ht="7.5" customHeight="1">
      <x:c r="A69" s="3"/>
      <x:c r="B69" s="3"/>
      <x:c r="C69" s="3"/>
      <x:c r="D69" s="3"/>
      <x:c r="E69" s="3"/>
      <x:c r="F69" s="4"/>
      <x:c r="G69" s="3"/>
      <x:c r="H69" s="3"/>
    </x:row>
    <x:row r="70" ht="7.5" customHeight="1">
      <x:c r="A70" s="3"/>
      <x:c r="B70" s="3"/>
      <x:c r="C70" s="3"/>
      <x:c r="D70" s="3"/>
      <x:c r="E70" s="3"/>
      <x:c r="F70" s="4"/>
      <x:c r="G70" s="3"/>
      <x:c r="H70" s="3"/>
    </x:row>
    <x:row r="71" ht="24" customHeight="1">
      <x:c r="A71" s="6" t="s">
        <x:v>17</x:v>
      </x:c>
      <x:c r="B71" s="6" t="s">
        <x:v>18</x:v>
      </x:c>
      <x:c r="C71" s="6" t="s">
        <x:v>19</x:v>
      </x:c>
      <x:c r="D71" s="6" t="s">
        <x:v>20</x:v>
      </x:c>
      <x:c r="E71" s="6" t="s">
        <x:v>21</x:v>
      </x:c>
      <x:c r="F71" s="8" t="s">
        <x:v>22</x:v>
      </x:c>
      <x:c r="G71" s="6" t="s">
        <x:v>23</x:v>
      </x:c>
      <x:c r="H71" s="6" t="s">
        <x:v>24</x:v>
      </x:c>
    </x:row>
    <x:row r="72" ht="21" customHeight="1">
      <x:c r="A72" s="13" t="s">
        <x:v>94</x:v>
      </x:c>
      <x:c r="B72" s="13"/>
      <x:c r="C72" s="13"/>
      <x:c r="D72" s="13"/>
      <x:c r="E72" s="13"/>
      <x:c r="F72" s="17"/>
      <x:c r="G72" s="13"/>
      <x:c r="H72" s="13"/>
    </x:row>
    <x:row r="73" ht="64.5" customHeight="1">
      <x:c r="A73" s="3" t="s">
        <x:v>95</x:v>
      </x:c>
      <x:c r="B73" s="3" t="s">
        <x:v>96</x:v>
      </x:c>
      <x:c r="C73" s="3" t="s">
        <x:v>97</x:v>
      </x:c>
      <x:c r="D73" s="3" t="s">
        <x:v>98</x:v>
      </x:c>
      <x:c r="E73" s="3" t="s">
        <x:v>99</x:v>
      </x:c>
      <x:c r="F73" s="7">
        <x:v>46154</x:v>
      </x:c>
      <x:c r="G73" s="5" t="s">
        <x:v>13</x:v>
      </x:c>
      <x:c r="H73" s="3" t="s">
        <x:v>100</x:v>
      </x:c>
    </x:row>
    <x:row r="74" ht="64.5" customHeight="1">
      <x:c r="A74" s="3" t="s">
        <x:v>101</x:v>
      </x:c>
      <x:c r="B74" s="3" t="s">
        <x:v>102</x:v>
      </x:c>
      <x:c r="C74" s="3" t="s">
        <x:v>103</x:v>
      </x:c>
      <x:c r="D74" s="3" t="s">
        <x:v>104</x:v>
      </x:c>
      <x:c r="E74" s="3" t="s">
        <x:v>105</x:v>
      </x:c>
      <x:c r="F74" s="7">
        <x:v>46154</x:v>
      </x:c>
      <x:c r="G74" s="5" t="s">
        <x:v>13</x:v>
      </x:c>
      <x:c r="H74" s="3" t="s">
        <x:v>106</x:v>
      </x:c>
    </x:row>
    <x:row r="75" ht="64.5" customHeight="1">
      <x:c r="A75" s="3" t="s">
        <x:v>107</x:v>
      </x:c>
      <x:c r="B75" s="3" t="s">
        <x:v>108</x:v>
      </x:c>
      <x:c r="C75" s="3" t="s">
        <x:v>109</x:v>
      </x:c>
      <x:c r="D75" s="3" t="s">
        <x:v>110</x:v>
      </x:c>
      <x:c r="E75" s="3" t="s">
        <x:v>111</x:v>
      </x:c>
      <x:c r="F75" s="7">
        <x:v>46154</x:v>
      </x:c>
      <x:c r="G75" s="5" t="s">
        <x:v>13</x:v>
      </x:c>
      <x:c r="H75" s="3" t="s">
        <x:v>112</x:v>
      </x:c>
    </x:row>
    <x:row r="76" ht="18" customHeight="1">
      <x:c r="F76" s="1"/>
    </x:row>
    <x:row r="77" ht="18" customHeight="1">
      <x:c r="A77" s="13" t="s">
        <x:v>113</x:v>
      </x:c>
      <x:c r="B77" s="13"/>
      <x:c r="C77" s="13"/>
      <x:c r="D77" s="13"/>
      <x:c r="E77" s="13"/>
      <x:c r="F77" s="17"/>
      <x:c r="G77" s="13"/>
      <x:c r="H77" s="13"/>
    </x:row>
    <x:row r="78" ht="15" customHeight="1">
      <x:c r="A78" s="2" t="s">
        <x:v>1</x:v>
      </x:c>
      <x:c r="B78" s="14" t="s">
        <x:v>2</x:v>
      </x:c>
      <x:c r="C78" s="14"/>
      <x:c r="D78" s="14"/>
      <x:c r="E78" s="14"/>
      <x:c r="F78" s="18"/>
      <x:c r="G78" s="14"/>
      <x:c r="H78" s="14"/>
    </x:row>
    <x:row r="79" ht="15" customHeight="1">
      <x:c r="A79" s="2" t="s">
        <x:v>3</x:v>
      </x:c>
      <x:c r="B79" s="14" t="s">
        <x:v>4</x:v>
      </x:c>
      <x:c r="C79" s="14"/>
      <x:c r="D79" s="14"/>
      <x:c r="E79" s="14"/>
      <x:c r="F79" s="18"/>
      <x:c r="G79" s="14"/>
      <x:c r="H79" s="14"/>
    </x:row>
    <x:row r="80" ht="25.5" customHeight="1">
      <x:c r="A80" s="2" t="s">
        <x:v>5</x:v>
      </x:c>
      <x:c r="B80" s="14" t="s">
        <x:v>114</x:v>
      </x:c>
      <x:c r="C80" s="14"/>
      <x:c r="D80" s="14"/>
      <x:c r="E80" s="14"/>
      <x:c r="F80" s="18"/>
      <x:c r="G80" s="14"/>
      <x:c r="H80" s="14"/>
    </x:row>
    <x:row r="81" ht="70.5" customHeight="1">
      <x:c r="A81" s="2" t="s">
        <x:v>7</x:v>
      </x:c>
      <x:c r="B81" s="14" t="s">
        <x:v>8</x:v>
      </x:c>
      <x:c r="C81" s="14"/>
      <x:c r="D81" s="14"/>
      <x:c r="E81" s="14"/>
      <x:c r="F81" s="18"/>
      <x:c r="G81" s="14"/>
      <x:c r="H81" s="14"/>
    </x:row>
    <x:row r="82" ht="63" customHeight="1">
      <x:c r="A82" s="2" t="s">
        <x:v>9</x:v>
      </x:c>
      <x:c r="B82" s="14" t="s">
        <x:v>115</x:v>
      </x:c>
      <x:c r="C82" s="14"/>
      <x:c r="D82" s="14"/>
      <x:c r="E82" s="14"/>
      <x:c r="F82" s="18"/>
      <x:c r="G82" s="14"/>
      <x:c r="H82" s="14"/>
    </x:row>
    <x:row r="83" ht="28.5" customHeight="1">
      <x:c r="A83" s="2" t="s">
        <x:v>11</x:v>
      </x:c>
      <x:c r="B83" s="14" t="s">
        <x:v>116</x:v>
      </x:c>
      <x:c r="C83" s="14"/>
      <x:c r="D83" s="14"/>
      <x:c r="E83" s="14"/>
      <x:c r="F83" s="18"/>
      <x:c r="G83" s="14"/>
      <x:c r="H83" s="14"/>
    </x:row>
    <x:row r="84" ht="15" customHeight="1">
      <x:c r="A84" s="2" t="s">
        <x:v>13</x:v>
      </x:c>
      <x:c r="B84" s="15" t="n">
        <x:f>COUNTIF(G92:G94,"Pass")</x:f>
        <x:v>3</x:v>
      </x:c>
      <x:c r="C84" s="15"/>
      <x:c r="D84" s="15"/>
      <x:c r="E84" s="15"/>
      <x:c r="F84" s="15"/>
      <x:c r="G84" s="15"/>
      <x:c r="H84" s="15"/>
    </x:row>
    <x:row r="85" ht="15" customHeight="1">
      <x:c r="A85" s="2" t="s">
        <x:v>14</x:v>
      </x:c>
      <x:c r="B85" s="15" t="n">
        <x:f>COUNTIF(G92:G94,"Fail")</x:f>
        <x:v>0</x:v>
      </x:c>
      <x:c r="C85" s="15"/>
      <x:c r="D85" s="15"/>
      <x:c r="E85" s="15"/>
      <x:c r="F85" s="15"/>
      <x:c r="G85" s="15"/>
      <x:c r="H85" s="15"/>
    </x:row>
    <x:row r="86" ht="15" customHeight="1">
      <x:c r="A86" s="2" t="s">
        <x:v>15</x:v>
      </x:c>
      <x:c r="B86" s="15" t="n">
        <x:f>COUNTIF(G92:G94,"Pending")</x:f>
        <x:v>0</x:v>
      </x:c>
      <x:c r="C86" s="15"/>
      <x:c r="D86" s="15"/>
      <x:c r="E86" s="15"/>
      <x:c r="F86" s="15"/>
      <x:c r="G86" s="15"/>
      <x:c r="H86" s="15"/>
    </x:row>
    <x:row r="87" ht="30" customHeight="1">
      <x:c r="A87" s="11" t="s">
        <x:v>16</x:v>
      </x:c>
      <x:c r="B87" s="16" t="n">
        <x:f>COUNTA(A92:A94)</x:f>
        <x:v>3</x:v>
      </x:c>
      <x:c r="C87" s="16"/>
      <x:c r="D87" s="16"/>
      <x:c r="E87" s="16"/>
      <x:c r="F87" s="16"/>
      <x:c r="G87" s="16"/>
      <x:c r="H87" s="16"/>
    </x:row>
    <x:row r="88" ht="7.5" customHeight="1">
      <x:c r="A88" s="3"/>
      <x:c r="B88" s="3"/>
      <x:c r="C88" s="3"/>
      <x:c r="D88" s="3"/>
      <x:c r="E88" s="3"/>
      <x:c r="F88" s="4"/>
      <x:c r="G88" s="3"/>
      <x:c r="H88" s="3"/>
    </x:row>
    <x:row r="89" ht="7.5" customHeight="1">
      <x:c r="A89" s="3"/>
      <x:c r="B89" s="3"/>
      <x:c r="C89" s="3"/>
      <x:c r="D89" s="3"/>
      <x:c r="E89" s="3"/>
      <x:c r="F89" s="4"/>
      <x:c r="G89" s="3"/>
      <x:c r="H89" s="3"/>
    </x:row>
    <x:row r="90" ht="24" customHeight="1">
      <x:c r="A90" s="6" t="s">
        <x:v>17</x:v>
      </x:c>
      <x:c r="B90" s="6" t="s">
        <x:v>18</x:v>
      </x:c>
      <x:c r="C90" s="6" t="s">
        <x:v>19</x:v>
      </x:c>
      <x:c r="D90" s="6" t="s">
        <x:v>20</x:v>
      </x:c>
      <x:c r="E90" s="6" t="s">
        <x:v>21</x:v>
      </x:c>
      <x:c r="F90" s="8" t="s">
        <x:v>22</x:v>
      </x:c>
      <x:c r="G90" s="6" t="s">
        <x:v>23</x:v>
      </x:c>
      <x:c r="H90" s="6" t="s">
        <x:v>24</x:v>
      </x:c>
    </x:row>
    <x:row r="91" ht="21" customHeight="1">
      <x:c r="A91" s="13" t="s">
        <x:v>117</x:v>
      </x:c>
      <x:c r="B91" s="13"/>
      <x:c r="C91" s="13"/>
      <x:c r="D91" s="13"/>
      <x:c r="E91" s="13"/>
      <x:c r="F91" s="17"/>
      <x:c r="G91" s="13"/>
      <x:c r="H91" s="13"/>
    </x:row>
    <x:row r="92" ht="64.5" customHeight="1">
      <x:c r="A92" s="3" t="s">
        <x:v>118</x:v>
      </x:c>
      <x:c r="B92" s="3" t="s">
        <x:v>119</x:v>
      </x:c>
      <x:c r="C92" s="3" t="s">
        <x:v>120</x:v>
      </x:c>
      <x:c r="D92" s="3" t="s">
        <x:v>98</x:v>
      </x:c>
      <x:c r="E92" s="3" t="s">
        <x:v>99</x:v>
      </x:c>
      <x:c r="F92" s="7">
        <x:v>46154</x:v>
      </x:c>
      <x:c r="G92" s="5" t="s">
        <x:v>13</x:v>
      </x:c>
      <x:c r="H92" s="3" t="s">
        <x:v>121</x:v>
      </x:c>
    </x:row>
    <x:row r="93" ht="64.5" customHeight="1">
      <x:c r="A93" s="3" t="s">
        <x:v>122</x:v>
      </x:c>
      <x:c r="B93" s="3" t="s">
        <x:v>123</x:v>
      </x:c>
      <x:c r="C93" s="3" t="s">
        <x:v>124</x:v>
      </x:c>
      <x:c r="D93" s="3" t="s">
        <x:v>125</x:v>
      </x:c>
      <x:c r="E93" s="3" t="s">
        <x:v>126</x:v>
      </x:c>
      <x:c r="F93" s="7">
        <x:v>46154</x:v>
      </x:c>
      <x:c r="G93" s="5" t="s">
        <x:v>13</x:v>
      </x:c>
      <x:c r="H93" s="3" t="s">
        <x:v>127</x:v>
      </x:c>
    </x:row>
    <x:row r="94" ht="64.5" customHeight="1">
      <x:c r="A94" s="3" t="s">
        <x:v>128</x:v>
      </x:c>
      <x:c r="B94" s="3" t="s">
        <x:v>129</x:v>
      </x:c>
      <x:c r="C94" s="3" t="s">
        <x:v>130</x:v>
      </x:c>
      <x:c r="D94" s="3" t="s">
        <x:v>131</x:v>
      </x:c>
      <x:c r="E94" s="3" t="s">
        <x:v>132</x:v>
      </x:c>
      <x:c r="F94" s="7">
        <x:v>46154</x:v>
      </x:c>
      <x:c r="G94" s="5" t="s">
        <x:v>13</x:v>
      </x:c>
      <x:c r="H94" s="3" t="s">
        <x:v>133</x:v>
      </x:c>
    </x:row>
    <x:row r="95" ht="18" customHeight="1">
      <x:c r="F95" s="1"/>
    </x:row>
    <x:row r="96" ht="18" customHeight="1">
      <x:c r="A96" s="13" t="s">
        <x:v>134</x:v>
      </x:c>
      <x:c r="B96" s="13"/>
      <x:c r="C96" s="13"/>
      <x:c r="D96" s="13"/>
      <x:c r="E96" s="13"/>
      <x:c r="F96" s="17"/>
      <x:c r="G96" s="13"/>
      <x:c r="H96" s="13"/>
    </x:row>
    <x:row r="97" ht="15" customHeight="1">
      <x:c r="A97" s="2" t="s">
        <x:v>1</x:v>
      </x:c>
      <x:c r="B97" s="14" t="s">
        <x:v>2</x:v>
      </x:c>
      <x:c r="C97" s="14"/>
      <x:c r="D97" s="14"/>
      <x:c r="E97" s="14"/>
      <x:c r="F97" s="18"/>
      <x:c r="G97" s="14"/>
      <x:c r="H97" s="14"/>
    </x:row>
    <x:row r="98" ht="15" customHeight="1">
      <x:c r="A98" s="2" t="s">
        <x:v>3</x:v>
      </x:c>
      <x:c r="B98" s="14" t="s">
        <x:v>4</x:v>
      </x:c>
      <x:c r="C98" s="14"/>
      <x:c r="D98" s="14"/>
      <x:c r="E98" s="14"/>
      <x:c r="F98" s="18"/>
      <x:c r="G98" s="14"/>
      <x:c r="H98" s="14"/>
    </x:row>
    <x:row r="99" ht="25.5" customHeight="1">
      <x:c r="A99" s="2" t="s">
        <x:v>5</x:v>
      </x:c>
      <x:c r="B99" s="14" t="s">
        <x:v>135</x:v>
      </x:c>
      <x:c r="C99" s="14"/>
      <x:c r="D99" s="14"/>
      <x:c r="E99" s="14"/>
      <x:c r="F99" s="18"/>
      <x:c r="G99" s="14"/>
      <x:c r="H99" s="14"/>
    </x:row>
    <x:row r="100" ht="70.5" customHeight="1">
      <x:c r="A100" s="2" t="s">
        <x:v>7</x:v>
      </x:c>
      <x:c r="B100" s="14" t="s">
        <x:v>136</x:v>
      </x:c>
      <x:c r="C100" s="14"/>
      <x:c r="D100" s="14"/>
      <x:c r="E100" s="14"/>
      <x:c r="F100" s="18"/>
      <x:c r="G100" s="14"/>
      <x:c r="H100" s="14"/>
    </x:row>
    <x:row r="101" ht="63" customHeight="1">
      <x:c r="A101" s="2" t="s">
        <x:v>9</x:v>
      </x:c>
      <x:c r="B101" s="14" t="s">
        <x:v>137</x:v>
      </x:c>
      <x:c r="C101" s="14"/>
      <x:c r="D101" s="14"/>
      <x:c r="E101" s="14"/>
      <x:c r="F101" s="18"/>
      <x:c r="G101" s="14"/>
      <x:c r="H101" s="14"/>
    </x:row>
    <x:row r="102" ht="28.5" customHeight="1">
      <x:c r="A102" s="2" t="s">
        <x:v>11</x:v>
      </x:c>
      <x:c r="B102" s="14" t="s">
        <x:v>138</x:v>
      </x:c>
      <x:c r="C102" s="14"/>
      <x:c r="D102" s="14"/>
      <x:c r="E102" s="14"/>
      <x:c r="F102" s="18"/>
      <x:c r="G102" s="14"/>
      <x:c r="H102" s="14"/>
    </x:row>
    <x:row r="103" ht="15" customHeight="1">
      <x:c r="A103" s="2" t="s">
        <x:v>13</x:v>
      </x:c>
      <x:c r="B103" s="15" t="n">
        <x:f>COUNTIF(G111:G113,"Pass")</x:f>
        <x:v>3</x:v>
      </x:c>
      <x:c r="C103" s="15"/>
      <x:c r="D103" s="15"/>
      <x:c r="E103" s="15"/>
      <x:c r="F103" s="15"/>
      <x:c r="G103" s="15"/>
      <x:c r="H103" s="15"/>
    </x:row>
    <x:row r="104" ht="15" customHeight="1">
      <x:c r="A104" s="2" t="s">
        <x:v>14</x:v>
      </x:c>
      <x:c r="B104" s="15" t="n">
        <x:f>COUNTIF(G111:G113,"Fail")</x:f>
        <x:v>0</x:v>
      </x:c>
      <x:c r="C104" s="15"/>
      <x:c r="D104" s="15"/>
      <x:c r="E104" s="15"/>
      <x:c r="F104" s="15"/>
      <x:c r="G104" s="15"/>
      <x:c r="H104" s="15"/>
    </x:row>
    <x:row r="105" ht="15" customHeight="1">
      <x:c r="A105" s="2" t="s">
        <x:v>15</x:v>
      </x:c>
      <x:c r="B105" s="15" t="n">
        <x:f>COUNTIF(G111:G113,"Pending")</x:f>
        <x:v>0</x:v>
      </x:c>
      <x:c r="C105" s="15"/>
      <x:c r="D105" s="15"/>
      <x:c r="E105" s="15"/>
      <x:c r="F105" s="15"/>
      <x:c r="G105" s="15"/>
      <x:c r="H105" s="15"/>
    </x:row>
    <x:row r="106" ht="30" customHeight="1">
      <x:c r="A106" s="11" t="s">
        <x:v>16</x:v>
      </x:c>
      <x:c r="B106" s="16" t="n">
        <x:f>COUNTA(A111:A113)</x:f>
        <x:v>3</x:v>
      </x:c>
      <x:c r="C106" s="16"/>
      <x:c r="D106" s="16"/>
      <x:c r="E106" s="16"/>
      <x:c r="F106" s="16"/>
      <x:c r="G106" s="16"/>
      <x:c r="H106" s="16"/>
    </x:row>
    <x:row r="107" ht="7.5" customHeight="1">
      <x:c r="A107" s="3"/>
      <x:c r="B107" s="3"/>
      <x:c r="C107" s="3"/>
      <x:c r="D107" s="3"/>
      <x:c r="E107" s="3"/>
      <x:c r="F107" s="4"/>
      <x:c r="G107" s="3"/>
      <x:c r="H107" s="3"/>
    </x:row>
    <x:row r="108" ht="7.5" customHeight="1">
      <x:c r="A108" s="3"/>
      <x:c r="B108" s="3"/>
      <x:c r="C108" s="3"/>
      <x:c r="D108" s="3"/>
      <x:c r="E108" s="3"/>
      <x:c r="F108" s="4"/>
      <x:c r="G108" s="3"/>
      <x:c r="H108" s="3"/>
    </x:row>
    <x:row r="109" ht="24" customHeight="1">
      <x:c r="A109" s="6" t="s">
        <x:v>17</x:v>
      </x:c>
      <x:c r="B109" s="6" t="s">
        <x:v>18</x:v>
      </x:c>
      <x:c r="C109" s="6" t="s">
        <x:v>19</x:v>
      </x:c>
      <x:c r="D109" s="6" t="s">
        <x:v>20</x:v>
      </x:c>
      <x:c r="E109" s="6" t="s">
        <x:v>21</x:v>
      </x:c>
      <x:c r="F109" s="8" t="s">
        <x:v>22</x:v>
      </x:c>
      <x:c r="G109" s="6" t="s">
        <x:v>23</x:v>
      </x:c>
      <x:c r="H109" s="6" t="s">
        <x:v>24</x:v>
      </x:c>
    </x:row>
    <x:row r="110" ht="21" customHeight="1">
      <x:c r="A110" s="13" t="s">
        <x:v>139</x:v>
      </x:c>
      <x:c r="B110" s="13"/>
      <x:c r="C110" s="13"/>
      <x:c r="D110" s="13"/>
      <x:c r="E110" s="13"/>
      <x:c r="F110" s="17"/>
      <x:c r="G110" s="13"/>
      <x:c r="H110" s="13"/>
    </x:row>
    <x:row r="111" ht="64.5" customHeight="1">
      <x:c r="A111" s="3" t="s">
        <x:v>140</x:v>
      </x:c>
      <x:c r="B111" s="3" t="s">
        <x:v>141</x:v>
      </x:c>
      <x:c r="C111" s="3" t="s">
        <x:v>142</x:v>
      </x:c>
      <x:c r="D111" s="3" t="s">
        <x:v>143</x:v>
      </x:c>
      <x:c r="E111" s="3" t="s">
        <x:v>144</x:v>
      </x:c>
      <x:c r="F111" s="7">
        <x:v>46155</x:v>
      </x:c>
      <x:c r="G111" s="5" t="s">
        <x:v>13</x:v>
      </x:c>
      <x:c r="H111" s="3" t="s">
        <x:v>145</x:v>
      </x:c>
    </x:row>
    <x:row r="112" ht="64.5" customHeight="1">
      <x:c r="A112" s="3" t="s">
        <x:v>146</x:v>
      </x:c>
      <x:c r="B112" s="3" t="s">
        <x:v>147</x:v>
      </x:c>
      <x:c r="C112" s="3" t="s">
        <x:v>148</x:v>
      </x:c>
      <x:c r="D112" s="3" t="s">
        <x:v>149</x:v>
      </x:c>
      <x:c r="E112" s="3" t="s">
        <x:v>150</x:v>
      </x:c>
      <x:c r="F112" s="7">
        <x:v>46155</x:v>
      </x:c>
      <x:c r="G112" s="5" t="s">
        <x:v>13</x:v>
      </x:c>
      <x:c r="H112" s="3" t="s">
        <x:v>151</x:v>
      </x:c>
    </x:row>
    <x:row r="113" ht="64.5" customHeight="1">
      <x:c r="A113" s="3" t="s">
        <x:v>152</x:v>
      </x:c>
      <x:c r="B113" s="3" t="s">
        <x:v>153</x:v>
      </x:c>
      <x:c r="C113" s="3" t="s">
        <x:v>154</x:v>
      </x:c>
      <x:c r="D113" s="3" t="s">
        <x:v>155</x:v>
      </x:c>
      <x:c r="E113" s="3" t="s">
        <x:v>156</x:v>
      </x:c>
      <x:c r="F113" s="7">
        <x:v>46155</x:v>
      </x:c>
      <x:c r="G113" s="5" t="s">
        <x:v>13</x:v>
      </x:c>
      <x:c r="H113" s="3" t="s">
        <x:v>157</x:v>
      </x:c>
    </x:row>
    <x:row r="114" ht="18" customHeight="1">
      <x:c r="F114" s="1"/>
    </x:row>
    <x:row r="115" ht="18" customHeight="1">
      <x:c r="A115" s="13" t="s">
        <x:v>158</x:v>
      </x:c>
      <x:c r="B115" s="13"/>
      <x:c r="C115" s="13"/>
      <x:c r="D115" s="13"/>
      <x:c r="E115" s="13"/>
      <x:c r="F115" s="17"/>
      <x:c r="G115" s="13"/>
      <x:c r="H115" s="13"/>
    </x:row>
    <x:row r="116" ht="15" customHeight="1">
      <x:c r="A116" s="2" t="s">
        <x:v>1</x:v>
      </x:c>
      <x:c r="B116" s="14" t="s">
        <x:v>2</x:v>
      </x:c>
      <x:c r="C116" s="14"/>
      <x:c r="D116" s="14"/>
      <x:c r="E116" s="14"/>
      <x:c r="F116" s="18"/>
      <x:c r="G116" s="14"/>
      <x:c r="H116" s="14"/>
    </x:row>
    <x:row r="117" ht="15" customHeight="1">
      <x:c r="A117" s="2" t="s">
        <x:v>3</x:v>
      </x:c>
      <x:c r="B117" s="14" t="s">
        <x:v>4</x:v>
      </x:c>
      <x:c r="C117" s="14"/>
      <x:c r="D117" s="14"/>
      <x:c r="E117" s="14"/>
      <x:c r="F117" s="18"/>
      <x:c r="G117" s="14"/>
      <x:c r="H117" s="14"/>
    </x:row>
    <x:row r="118" ht="25.5" customHeight="1">
      <x:c r="A118" s="2" t="s">
        <x:v>5</x:v>
      </x:c>
      <x:c r="B118" s="14" t="s">
        <x:v>159</x:v>
      </x:c>
      <x:c r="C118" s="14"/>
      <x:c r="D118" s="14"/>
      <x:c r="E118" s="14"/>
      <x:c r="F118" s="18"/>
      <x:c r="G118" s="14"/>
      <x:c r="H118" s="14"/>
    </x:row>
    <x:row r="119" ht="70.5" customHeight="1">
      <x:c r="A119" s="2" t="s">
        <x:v>7</x:v>
      </x:c>
      <x:c r="B119" s="14" t="s">
        <x:v>8</x:v>
      </x:c>
      <x:c r="C119" s="14"/>
      <x:c r="D119" s="14"/>
      <x:c r="E119" s="14"/>
      <x:c r="F119" s="18"/>
      <x:c r="G119" s="14"/>
      <x:c r="H119" s="14"/>
    </x:row>
    <x:row r="120" ht="63" customHeight="1">
      <x:c r="A120" s="2" t="s">
        <x:v>9</x:v>
      </x:c>
      <x:c r="B120" s="14" t="s">
        <x:v>160</x:v>
      </x:c>
      <x:c r="C120" s="14"/>
      <x:c r="D120" s="14"/>
      <x:c r="E120" s="14"/>
      <x:c r="F120" s="18"/>
      <x:c r="G120" s="14"/>
      <x:c r="H120" s="14"/>
    </x:row>
    <x:row r="121" ht="28.5" customHeight="1">
      <x:c r="A121" s="2" t="s">
        <x:v>11</x:v>
      </x:c>
      <x:c r="B121" s="14" t="s">
        <x:v>161</x:v>
      </x:c>
      <x:c r="C121" s="14"/>
      <x:c r="D121" s="14"/>
      <x:c r="E121" s="14"/>
      <x:c r="F121" s="18"/>
      <x:c r="G121" s="14"/>
      <x:c r="H121" s="14"/>
    </x:row>
    <x:row r="122" ht="15" customHeight="1">
      <x:c r="A122" s="2" t="s">
        <x:v>13</x:v>
      </x:c>
      <x:c r="B122" s="15" t="n">
        <x:f>COUNTIF(G130:G132,"Pass")</x:f>
        <x:v>3</x:v>
      </x:c>
      <x:c r="C122" s="15"/>
      <x:c r="D122" s="15"/>
      <x:c r="E122" s="15"/>
      <x:c r="F122" s="15"/>
      <x:c r="G122" s="15"/>
      <x:c r="H122" s="15"/>
    </x:row>
    <x:row r="123" ht="15" customHeight="1">
      <x:c r="A123" s="2" t="s">
        <x:v>14</x:v>
      </x:c>
      <x:c r="B123" s="15" t="n">
        <x:f>COUNTIF(G130:G132,"Fail")</x:f>
        <x:v>0</x:v>
      </x:c>
      <x:c r="C123" s="15"/>
      <x:c r="D123" s="15"/>
      <x:c r="E123" s="15"/>
      <x:c r="F123" s="15"/>
      <x:c r="G123" s="15"/>
      <x:c r="H123" s="15"/>
    </x:row>
    <x:row r="124" ht="15" customHeight="1">
      <x:c r="A124" s="2" t="s">
        <x:v>15</x:v>
      </x:c>
      <x:c r="B124" s="15" t="n">
        <x:f>COUNTIF(G130:G132,"Pending")</x:f>
        <x:v>0</x:v>
      </x:c>
      <x:c r="C124" s="15"/>
      <x:c r="D124" s="15"/>
      <x:c r="E124" s="15"/>
      <x:c r="F124" s="15"/>
      <x:c r="G124" s="15"/>
      <x:c r="H124" s="15"/>
    </x:row>
    <x:row r="125" ht="30" customHeight="1">
      <x:c r="A125" s="11" t="s">
        <x:v>16</x:v>
      </x:c>
      <x:c r="B125" s="16" t="n">
        <x:f>COUNTA(A130:A132)</x:f>
        <x:v>3</x:v>
      </x:c>
      <x:c r="C125" s="16"/>
      <x:c r="D125" s="16"/>
      <x:c r="E125" s="16"/>
      <x:c r="F125" s="16"/>
      <x:c r="G125" s="16"/>
      <x:c r="H125" s="16"/>
    </x:row>
    <x:row r="126" ht="7.5" customHeight="1">
      <x:c r="A126" s="3"/>
      <x:c r="B126" s="3"/>
      <x:c r="C126" s="3"/>
      <x:c r="D126" s="3"/>
      <x:c r="E126" s="3"/>
      <x:c r="F126" s="4"/>
      <x:c r="G126" s="3"/>
      <x:c r="H126" s="3"/>
    </x:row>
    <x:row r="127" ht="7.5" customHeight="1">
      <x:c r="A127" s="3"/>
      <x:c r="B127" s="3"/>
      <x:c r="C127" s="3"/>
      <x:c r="D127" s="3"/>
      <x:c r="E127" s="3"/>
      <x:c r="F127" s="4"/>
      <x:c r="G127" s="3"/>
      <x:c r="H127" s="3"/>
    </x:row>
    <x:row r="128" ht="24" customHeight="1">
      <x:c r="A128" s="6" t="s">
        <x:v>17</x:v>
      </x:c>
      <x:c r="B128" s="6" t="s">
        <x:v>18</x:v>
      </x:c>
      <x:c r="C128" s="6" t="s">
        <x:v>19</x:v>
      </x:c>
      <x:c r="D128" s="6" t="s">
        <x:v>20</x:v>
      </x:c>
      <x:c r="E128" s="6" t="s">
        <x:v>21</x:v>
      </x:c>
      <x:c r="F128" s="8" t="s">
        <x:v>22</x:v>
      </x:c>
      <x:c r="G128" s="6" t="s">
        <x:v>23</x:v>
      </x:c>
      <x:c r="H128" s="6" t="s">
        <x:v>24</x:v>
      </x:c>
    </x:row>
    <x:row r="129" ht="21" customHeight="1">
      <x:c r="A129" s="13" t="s">
        <x:v>162</x:v>
      </x:c>
      <x:c r="B129" s="13"/>
      <x:c r="C129" s="13"/>
      <x:c r="D129" s="13"/>
      <x:c r="E129" s="13"/>
      <x:c r="F129" s="17"/>
      <x:c r="G129" s="13"/>
      <x:c r="H129" s="13"/>
    </x:row>
    <x:row r="130" ht="64.5" customHeight="1">
      <x:c r="A130" s="3" t="s">
        <x:v>163</x:v>
      </x:c>
      <x:c r="B130" s="3" t="s">
        <x:v>164</x:v>
      </x:c>
      <x:c r="C130" s="3" t="s">
        <x:v>165</x:v>
      </x:c>
      <x:c r="D130" s="3" t="s">
        <x:v>166</x:v>
      </x:c>
      <x:c r="E130" s="3" t="s">
        <x:v>167</x:v>
      </x:c>
      <x:c r="F130" s="7">
        <x:v>46156</x:v>
      </x:c>
      <x:c r="G130" s="5" t="s">
        <x:v>13</x:v>
      </x:c>
      <x:c r="H130" s="3" t="s">
        <x:v>168</x:v>
      </x:c>
    </x:row>
    <x:row r="131" ht="64.5" customHeight="1">
      <x:c r="A131" s="3" t="s">
        <x:v>169</x:v>
      </x:c>
      <x:c r="B131" s="3" t="s">
        <x:v>170</x:v>
      </x:c>
      <x:c r="C131" s="3" t="s">
        <x:v>171</x:v>
      </x:c>
      <x:c r="D131" s="3" t="s">
        <x:v>172</x:v>
      </x:c>
      <x:c r="E131" s="3" t="s">
        <x:v>173</x:v>
      </x:c>
      <x:c r="F131" s="7">
        <x:v>46156</x:v>
      </x:c>
      <x:c r="G131" s="5" t="s">
        <x:v>13</x:v>
      </x:c>
      <x:c r="H131" s="3" t="s">
        <x:v>174</x:v>
      </x:c>
    </x:row>
    <x:row r="132" ht="64.5" customHeight="1">
      <x:c r="A132" s="3" t="s">
        <x:v>175</x:v>
      </x:c>
      <x:c r="B132" s="3" t="s">
        <x:v>176</x:v>
      </x:c>
      <x:c r="C132" s="3" t="s">
        <x:v>177</x:v>
      </x:c>
      <x:c r="D132" s="3" t="s">
        <x:v>178</x:v>
      </x:c>
      <x:c r="E132" s="3" t="s">
        <x:v>179</x:v>
      </x:c>
      <x:c r="F132" s="7">
        <x:v>46156</x:v>
      </x:c>
      <x:c r="G132" s="5" t="s">
        <x:v>13</x:v>
      </x:c>
      <x:c r="H132" s="3" t="s">
        <x:v>180</x:v>
      </x:c>
    </x:row>
    <x:row r="133" ht="18" customHeight="1">
      <x:c r="F133" s="1"/>
    </x:row>
    <x:row r="134" ht="18" customHeight="1">
      <x:c r="A134" s="13" t="s">
        <x:v>181</x:v>
      </x:c>
      <x:c r="B134" s="13"/>
      <x:c r="C134" s="13"/>
      <x:c r="D134" s="13"/>
      <x:c r="E134" s="13"/>
      <x:c r="F134" s="17"/>
      <x:c r="G134" s="13"/>
      <x:c r="H134" s="13"/>
    </x:row>
    <x:row r="135" ht="15" customHeight="1">
      <x:c r="A135" s="2" t="s">
        <x:v>1</x:v>
      </x:c>
      <x:c r="B135" s="14" t="s">
        <x:v>2</x:v>
      </x:c>
      <x:c r="C135" s="14"/>
      <x:c r="D135" s="14"/>
      <x:c r="E135" s="14"/>
      <x:c r="F135" s="18"/>
      <x:c r="G135" s="14"/>
      <x:c r="H135" s="14"/>
    </x:row>
    <x:row r="136" ht="15" customHeight="1">
      <x:c r="A136" s="2" t="s">
        <x:v>3</x:v>
      </x:c>
      <x:c r="B136" s="14" t="s">
        <x:v>4</x:v>
      </x:c>
      <x:c r="C136" s="14"/>
      <x:c r="D136" s="14"/>
      <x:c r="E136" s="14"/>
      <x:c r="F136" s="18"/>
      <x:c r="G136" s="14"/>
      <x:c r="H136" s="14"/>
    </x:row>
    <x:row r="137" ht="25.5" customHeight="1">
      <x:c r="A137" s="2" t="s">
        <x:v>5</x:v>
      </x:c>
      <x:c r="B137" s="14" t="s">
        <x:v>182</x:v>
      </x:c>
      <x:c r="C137" s="14"/>
      <x:c r="D137" s="14"/>
      <x:c r="E137" s="14"/>
      <x:c r="F137" s="18"/>
      <x:c r="G137" s="14"/>
      <x:c r="H137" s="14"/>
    </x:row>
    <x:row r="138" ht="70.5" customHeight="1">
      <x:c r="A138" s="2" t="s">
        <x:v>7</x:v>
      </x:c>
      <x:c r="B138" s="14" t="s">
        <x:v>8</x:v>
      </x:c>
      <x:c r="C138" s="14"/>
      <x:c r="D138" s="14"/>
      <x:c r="E138" s="14"/>
      <x:c r="F138" s="18"/>
      <x:c r="G138" s="14"/>
      <x:c r="H138" s="14"/>
    </x:row>
    <x:row r="139" ht="63" customHeight="1">
      <x:c r="A139" s="2" t="s">
        <x:v>9</x:v>
      </x:c>
      <x:c r="B139" s="14" t="s">
        <x:v>183</x:v>
      </x:c>
      <x:c r="C139" s="14"/>
      <x:c r="D139" s="14"/>
      <x:c r="E139" s="14"/>
      <x:c r="F139" s="18"/>
      <x:c r="G139" s="14"/>
      <x:c r="H139" s="14"/>
    </x:row>
    <x:row r="140" ht="28.5" customHeight="1">
      <x:c r="A140" s="2" t="s">
        <x:v>11</x:v>
      </x:c>
      <x:c r="B140" s="14" t="s">
        <x:v>184</x:v>
      </x:c>
      <x:c r="C140" s="14"/>
      <x:c r="D140" s="14"/>
      <x:c r="E140" s="14"/>
      <x:c r="F140" s="18"/>
      <x:c r="G140" s="14"/>
      <x:c r="H140" s="14"/>
    </x:row>
    <x:row r="141" ht="15" customHeight="1">
      <x:c r="A141" s="2" t="s">
        <x:v>13</x:v>
      </x:c>
      <x:c r="B141" s="15" t="n">
        <x:f>COUNTIF(G149:G151,"Pass")</x:f>
        <x:v>3</x:v>
      </x:c>
      <x:c r="C141" s="15"/>
      <x:c r="D141" s="15"/>
      <x:c r="E141" s="15"/>
      <x:c r="F141" s="15"/>
      <x:c r="G141" s="15"/>
      <x:c r="H141" s="15"/>
    </x:row>
    <x:row r="142" ht="15" customHeight="1">
      <x:c r="A142" s="2" t="s">
        <x:v>14</x:v>
      </x:c>
      <x:c r="B142" s="15" t="n">
        <x:f>COUNTIF(G149:G151,"Fail")</x:f>
        <x:v>0</x:v>
      </x:c>
      <x:c r="C142" s="15"/>
      <x:c r="D142" s="15"/>
      <x:c r="E142" s="15"/>
      <x:c r="F142" s="15"/>
      <x:c r="G142" s="15"/>
      <x:c r="H142" s="15"/>
    </x:row>
    <x:row r="143" ht="15" customHeight="1">
      <x:c r="A143" s="2" t="s">
        <x:v>15</x:v>
      </x:c>
      <x:c r="B143" s="15" t="n">
        <x:f>COUNTIF(G149:G151,"Pending")</x:f>
        <x:v>0</x:v>
      </x:c>
      <x:c r="C143" s="15"/>
      <x:c r="D143" s="15"/>
      <x:c r="E143" s="15"/>
      <x:c r="F143" s="15"/>
      <x:c r="G143" s="15"/>
      <x:c r="H143" s="15"/>
    </x:row>
    <x:row r="144" ht="30" customHeight="1">
      <x:c r="A144" s="11" t="s">
        <x:v>16</x:v>
      </x:c>
      <x:c r="B144" s="16" t="n">
        <x:f>COUNTA(A149:A151)</x:f>
        <x:v>3</x:v>
      </x:c>
      <x:c r="C144" s="16"/>
      <x:c r="D144" s="16"/>
      <x:c r="E144" s="16"/>
      <x:c r="F144" s="16"/>
      <x:c r="G144" s="16"/>
      <x:c r="H144" s="16"/>
    </x:row>
    <x:row r="145" ht="7.5" customHeight="1">
      <x:c r="A145" s="3"/>
      <x:c r="B145" s="3"/>
      <x:c r="C145" s="3"/>
      <x:c r="D145" s="3"/>
      <x:c r="E145" s="3"/>
      <x:c r="F145" s="4"/>
      <x:c r="G145" s="3"/>
      <x:c r="H145" s="3"/>
    </x:row>
    <x:row r="146" ht="7.5" customHeight="1">
      <x:c r="A146" s="3"/>
      <x:c r="B146" s="3"/>
      <x:c r="C146" s="3"/>
      <x:c r="D146" s="3"/>
      <x:c r="E146" s="3"/>
      <x:c r="F146" s="4"/>
      <x:c r="G146" s="3"/>
      <x:c r="H146" s="3"/>
    </x:row>
    <x:row r="147" ht="24" customHeight="1">
      <x:c r="A147" s="6" t="s">
        <x:v>17</x:v>
      </x:c>
      <x:c r="B147" s="6" t="s">
        <x:v>18</x:v>
      </x:c>
      <x:c r="C147" s="6" t="s">
        <x:v>19</x:v>
      </x:c>
      <x:c r="D147" s="6" t="s">
        <x:v>20</x:v>
      </x:c>
      <x:c r="E147" s="6" t="s">
        <x:v>21</x:v>
      </x:c>
      <x:c r="F147" s="8" t="s">
        <x:v>22</x:v>
      </x:c>
      <x:c r="G147" s="6" t="s">
        <x:v>23</x:v>
      </x:c>
      <x:c r="H147" s="6" t="s">
        <x:v>24</x:v>
      </x:c>
    </x:row>
    <x:row r="148" ht="21" customHeight="1">
      <x:c r="A148" s="13" t="s">
        <x:v>185</x:v>
      </x:c>
      <x:c r="B148" s="13"/>
      <x:c r="C148" s="13"/>
      <x:c r="D148" s="13"/>
      <x:c r="E148" s="13"/>
      <x:c r="F148" s="17"/>
      <x:c r="G148" s="13"/>
      <x:c r="H148" s="13"/>
    </x:row>
    <x:row r="149" ht="64.5" customHeight="1">
      <x:c r="A149" s="3" t="s">
        <x:v>186</x:v>
      </x:c>
      <x:c r="B149" s="3" t="s">
        <x:v>187</x:v>
      </x:c>
      <x:c r="C149" s="3" t="s">
        <x:v>188</x:v>
      </x:c>
      <x:c r="D149" s="3" t="s">
        <x:v>189</x:v>
      </x:c>
      <x:c r="E149" s="3" t="s">
        <x:v>190</x:v>
      </x:c>
      <x:c r="F149" s="7">
        <x:v>46157</x:v>
      </x:c>
      <x:c r="G149" s="5" t="s">
        <x:v>13</x:v>
      </x:c>
      <x:c r="H149" s="3" t="s">
        <x:v>191</x:v>
      </x:c>
    </x:row>
    <x:row r="150" ht="64.5" customHeight="1">
      <x:c r="A150" s="3" t="s">
        <x:v>192</x:v>
      </x:c>
      <x:c r="B150" s="3" t="s">
        <x:v>193</x:v>
      </x:c>
      <x:c r="C150" s="3" t="s">
        <x:v>194</x:v>
      </x:c>
      <x:c r="D150" s="3" t="s">
        <x:v>195</x:v>
      </x:c>
      <x:c r="E150" s="3" t="s">
        <x:v>196</x:v>
      </x:c>
      <x:c r="F150" s="7">
        <x:v>46157</x:v>
      </x:c>
      <x:c r="G150" s="5" t="s">
        <x:v>13</x:v>
      </x:c>
      <x:c r="H150" s="3" t="s">
        <x:v>197</x:v>
      </x:c>
    </x:row>
    <x:row r="151" ht="64.5" customHeight="1">
      <x:c r="A151" s="3" t="s">
        <x:v>198</x:v>
      </x:c>
      <x:c r="B151" s="3" t="s">
        <x:v>199</x:v>
      </x:c>
      <x:c r="C151" s="3" t="s">
        <x:v>200</x:v>
      </x:c>
      <x:c r="D151" s="3" t="s">
        <x:v>201</x:v>
      </x:c>
      <x:c r="E151" s="3" t="s">
        <x:v>202</x:v>
      </x:c>
      <x:c r="F151" s="7">
        <x:v>46157</x:v>
      </x:c>
      <x:c r="G151" s="5" t="s">
        <x:v>13</x:v>
      </x:c>
      <x:c r="H151" s="3" t="s">
        <x:v>203</x:v>
      </x:c>
    </x:row>
    <x:row r="152" ht="18" customHeight="1">
      <x:c r="F152" s="1"/>
    </x:row>
    <x:row r="153" ht="18" customHeight="1">
      <x:c r="A153" s="13" t="s">
        <x:v>204</x:v>
      </x:c>
      <x:c r="B153" s="13"/>
      <x:c r="C153" s="13"/>
      <x:c r="D153" s="13"/>
      <x:c r="E153" s="13"/>
      <x:c r="F153" s="17"/>
      <x:c r="G153" s="13"/>
      <x:c r="H153" s="13"/>
    </x:row>
    <x:row r="154" ht="15" customHeight="1">
      <x:c r="A154" s="2" t="s">
        <x:v>1</x:v>
      </x:c>
      <x:c r="B154" s="14" t="s">
        <x:v>2</x:v>
      </x:c>
      <x:c r="C154" s="14"/>
      <x:c r="D154" s="14"/>
      <x:c r="E154" s="14"/>
      <x:c r="F154" s="18"/>
      <x:c r="G154" s="14"/>
      <x:c r="H154" s="14"/>
    </x:row>
    <x:row r="155" ht="15" customHeight="1">
      <x:c r="A155" s="2" t="s">
        <x:v>3</x:v>
      </x:c>
      <x:c r="B155" s="14" t="s">
        <x:v>4</x:v>
      </x:c>
      <x:c r="C155" s="14"/>
      <x:c r="D155" s="14"/>
      <x:c r="E155" s="14"/>
      <x:c r="F155" s="18"/>
      <x:c r="G155" s="14"/>
      <x:c r="H155" s="14"/>
    </x:row>
    <x:row r="156" ht="25.5" customHeight="1">
      <x:c r="A156" s="2" t="s">
        <x:v>5</x:v>
      </x:c>
      <x:c r="B156" s="14" t="s">
        <x:v>205</x:v>
      </x:c>
      <x:c r="C156" s="14"/>
      <x:c r="D156" s="14"/>
      <x:c r="E156" s="14"/>
      <x:c r="F156" s="18"/>
      <x:c r="G156" s="14"/>
      <x:c r="H156" s="14"/>
    </x:row>
    <x:row r="157" ht="70.5" customHeight="1">
      <x:c r="A157" s="2" t="s">
        <x:v>7</x:v>
      </x:c>
      <x:c r="B157" s="14" t="s">
        <x:v>8</x:v>
      </x:c>
      <x:c r="C157" s="14"/>
      <x:c r="D157" s="14"/>
      <x:c r="E157" s="14"/>
      <x:c r="F157" s="18"/>
      <x:c r="G157" s="14"/>
      <x:c r="H157" s="14"/>
    </x:row>
    <x:row r="158" ht="63" customHeight="1">
      <x:c r="A158" s="2" t="s">
        <x:v>9</x:v>
      </x:c>
      <x:c r="B158" s="14" t="s">
        <x:v>206</x:v>
      </x:c>
      <x:c r="C158" s="14"/>
      <x:c r="D158" s="14"/>
      <x:c r="E158" s="14"/>
      <x:c r="F158" s="18"/>
      <x:c r="G158" s="14"/>
      <x:c r="H158" s="14"/>
    </x:row>
    <x:row r="159" ht="28.5" customHeight="1">
      <x:c r="A159" s="2" t="s">
        <x:v>11</x:v>
      </x:c>
      <x:c r="B159" s="14" t="s">
        <x:v>207</x:v>
      </x:c>
      <x:c r="C159" s="14"/>
      <x:c r="D159" s="14"/>
      <x:c r="E159" s="14"/>
      <x:c r="F159" s="18"/>
      <x:c r="G159" s="14"/>
      <x:c r="H159" s="14"/>
    </x:row>
    <x:row r="160" ht="15" customHeight="1">
      <x:c r="A160" s="2" t="s">
        <x:v>13</x:v>
      </x:c>
      <x:c r="B160" s="15" t="n">
        <x:f>COUNTIF(G168:G170,"Pass")</x:f>
        <x:v>3</x:v>
      </x:c>
      <x:c r="C160" s="15"/>
      <x:c r="D160" s="15"/>
      <x:c r="E160" s="15"/>
      <x:c r="F160" s="15"/>
      <x:c r="G160" s="15"/>
      <x:c r="H160" s="15"/>
    </x:row>
    <x:row r="161" ht="15" customHeight="1">
      <x:c r="A161" s="2" t="s">
        <x:v>14</x:v>
      </x:c>
      <x:c r="B161" s="15" t="n">
        <x:f>COUNTIF(G168:G170,"Fail")</x:f>
        <x:v>0</x:v>
      </x:c>
      <x:c r="C161" s="15"/>
      <x:c r="D161" s="15"/>
      <x:c r="E161" s="15"/>
      <x:c r="F161" s="15"/>
      <x:c r="G161" s="15"/>
      <x:c r="H161" s="15"/>
    </x:row>
    <x:row r="162" ht="15" customHeight="1">
      <x:c r="A162" s="2" t="s">
        <x:v>15</x:v>
      </x:c>
      <x:c r="B162" s="15" t="n">
        <x:f>COUNTIF(G168:G170,"Pending")</x:f>
        <x:v>0</x:v>
      </x:c>
      <x:c r="C162" s="15"/>
      <x:c r="D162" s="15"/>
      <x:c r="E162" s="15"/>
      <x:c r="F162" s="15"/>
      <x:c r="G162" s="15"/>
      <x:c r="H162" s="15"/>
    </x:row>
    <x:row r="163" ht="30" customHeight="1">
      <x:c r="A163" s="11" t="s">
        <x:v>16</x:v>
      </x:c>
      <x:c r="B163" s="16" t="n">
        <x:f>COUNTA(A168:A170)</x:f>
        <x:v>3</x:v>
      </x:c>
      <x:c r="C163" s="16"/>
      <x:c r="D163" s="16"/>
      <x:c r="E163" s="16"/>
      <x:c r="F163" s="16"/>
      <x:c r="G163" s="16"/>
      <x:c r="H163" s="16"/>
    </x:row>
    <x:row r="164" ht="7.5" customHeight="1">
      <x:c r="A164" s="3"/>
      <x:c r="B164" s="3"/>
      <x:c r="C164" s="3"/>
      <x:c r="D164" s="3"/>
      <x:c r="E164" s="3"/>
      <x:c r="F164" s="4"/>
      <x:c r="G164" s="3"/>
      <x:c r="H164" s="3"/>
    </x:row>
    <x:row r="165" ht="7.5" customHeight="1">
      <x:c r="A165" s="3"/>
      <x:c r="B165" s="3"/>
      <x:c r="C165" s="3"/>
      <x:c r="D165" s="3"/>
      <x:c r="E165" s="3"/>
      <x:c r="F165" s="4"/>
      <x:c r="G165" s="3"/>
      <x:c r="H165" s="3"/>
    </x:row>
    <x:row r="166" ht="24" customHeight="1">
      <x:c r="A166" s="6" t="s">
        <x:v>17</x:v>
      </x:c>
      <x:c r="B166" s="6" t="s">
        <x:v>18</x:v>
      </x:c>
      <x:c r="C166" s="6" t="s">
        <x:v>19</x:v>
      </x:c>
      <x:c r="D166" s="6" t="s">
        <x:v>20</x:v>
      </x:c>
      <x:c r="E166" s="6" t="s">
        <x:v>21</x:v>
      </x:c>
      <x:c r="F166" s="8" t="s">
        <x:v>22</x:v>
      </x:c>
      <x:c r="G166" s="6" t="s">
        <x:v>23</x:v>
      </x:c>
      <x:c r="H166" s="6" t="s">
        <x:v>24</x:v>
      </x:c>
    </x:row>
    <x:row r="167" ht="21" customHeight="1">
      <x:c r="A167" s="13" t="s">
        <x:v>208</x:v>
      </x:c>
      <x:c r="B167" s="13"/>
      <x:c r="C167" s="13"/>
      <x:c r="D167" s="13"/>
      <x:c r="E167" s="13"/>
      <x:c r="F167" s="17"/>
      <x:c r="G167" s="13"/>
      <x:c r="H167" s="13"/>
    </x:row>
    <x:row r="168" ht="64.5" customHeight="1">
      <x:c r="A168" s="3" t="s">
        <x:v>209</x:v>
      </x:c>
      <x:c r="B168" s="3" t="s">
        <x:v>210</x:v>
      </x:c>
      <x:c r="C168" s="3" t="s">
        <x:v>211</x:v>
      </x:c>
      <x:c r="D168" s="3" t="s">
        <x:v>212</x:v>
      </x:c>
      <x:c r="E168" s="3" t="s">
        <x:v>213</x:v>
      </x:c>
      <x:c r="F168" s="7">
        <x:v>46157</x:v>
      </x:c>
      <x:c r="G168" s="5" t="s">
        <x:v>13</x:v>
      </x:c>
      <x:c r="H168" s="3" t="s">
        <x:v>214</x:v>
      </x:c>
    </x:row>
    <x:row r="169" ht="64.5" customHeight="1">
      <x:c r="A169" s="3" t="s">
        <x:v>215</x:v>
      </x:c>
      <x:c r="B169" s="3" t="s">
        <x:v>216</x:v>
      </x:c>
      <x:c r="C169" s="3" t="s">
        <x:v>217</x:v>
      </x:c>
      <x:c r="D169" s="3" t="s">
        <x:v>218</x:v>
      </x:c>
      <x:c r="E169" s="3" t="s">
        <x:v>219</x:v>
      </x:c>
      <x:c r="F169" s="7">
        <x:v>46157</x:v>
      </x:c>
      <x:c r="G169" s="5" t="s">
        <x:v>13</x:v>
      </x:c>
      <x:c r="H169" s="3" t="s">
        <x:v>220</x:v>
      </x:c>
    </x:row>
    <x:row r="170" ht="64.5" customHeight="1">
      <x:c r="A170" s="3" t="s">
        <x:v>221</x:v>
      </x:c>
      <x:c r="B170" s="3" t="s">
        <x:v>222</x:v>
      </x:c>
      <x:c r="C170" s="3" t="s">
        <x:v>223</x:v>
      </x:c>
      <x:c r="D170" s="3" t="s">
        <x:v>224</x:v>
      </x:c>
      <x:c r="E170" s="3" t="s">
        <x:v>225</x:v>
      </x:c>
      <x:c r="F170" s="7">
        <x:v>46157</x:v>
      </x:c>
      <x:c r="G170" s="5" t="s">
        <x:v>13</x:v>
      </x:c>
      <x:c r="H170" s="3" t="s">
        <x:v>226</x:v>
      </x:c>
    </x:row>
    <x:row r="171" ht="18" customHeight="1">
      <x:c r="F171" s="1"/>
    </x:row>
    <x:row r="172" ht="18" customHeight="1">
      <x:c r="A172" s="13" t="s">
        <x:v>227</x:v>
      </x:c>
      <x:c r="B172" s="13"/>
      <x:c r="C172" s="13"/>
      <x:c r="D172" s="13"/>
      <x:c r="E172" s="13"/>
      <x:c r="F172" s="17"/>
      <x:c r="G172" s="13"/>
      <x:c r="H172" s="13"/>
    </x:row>
    <x:row r="173" ht="15" customHeight="1">
      <x:c r="A173" s="2" t="s">
        <x:v>1</x:v>
      </x:c>
      <x:c r="B173" s="14" t="s">
        <x:v>2</x:v>
      </x:c>
      <x:c r="C173" s="14"/>
      <x:c r="D173" s="14"/>
      <x:c r="E173" s="14"/>
      <x:c r="F173" s="18"/>
      <x:c r="G173" s="14"/>
      <x:c r="H173" s="14"/>
    </x:row>
    <x:row r="174" ht="15" customHeight="1">
      <x:c r="A174" s="2" t="s">
        <x:v>3</x:v>
      </x:c>
      <x:c r="B174" s="14" t="s">
        <x:v>4</x:v>
      </x:c>
      <x:c r="C174" s="14"/>
      <x:c r="D174" s="14"/>
      <x:c r="E174" s="14"/>
      <x:c r="F174" s="18"/>
      <x:c r="G174" s="14"/>
      <x:c r="H174" s="14"/>
    </x:row>
    <x:row r="175" ht="25.5" customHeight="1">
      <x:c r="A175" s="2" t="s">
        <x:v>5</x:v>
      </x:c>
      <x:c r="B175" s="14" t="s">
        <x:v>228</x:v>
      </x:c>
      <x:c r="C175" s="14"/>
      <x:c r="D175" s="14"/>
      <x:c r="E175" s="14"/>
      <x:c r="F175" s="18"/>
      <x:c r="G175" s="14"/>
      <x:c r="H175" s="14"/>
    </x:row>
    <x:row r="176" ht="70.5" customHeight="1">
      <x:c r="A176" s="2" t="s">
        <x:v>7</x:v>
      </x:c>
      <x:c r="B176" s="14" t="s">
        <x:v>8</x:v>
      </x:c>
      <x:c r="C176" s="14"/>
      <x:c r="D176" s="14"/>
      <x:c r="E176" s="14"/>
      <x:c r="F176" s="18"/>
      <x:c r="G176" s="14"/>
      <x:c r="H176" s="14"/>
    </x:row>
    <x:row r="177" ht="63" customHeight="1">
      <x:c r="A177" s="2" t="s">
        <x:v>9</x:v>
      </x:c>
      <x:c r="B177" s="14" t="s">
        <x:v>229</x:v>
      </x:c>
      <x:c r="C177" s="14"/>
      <x:c r="D177" s="14"/>
      <x:c r="E177" s="14"/>
      <x:c r="F177" s="18"/>
      <x:c r="G177" s="14"/>
      <x:c r="H177" s="14"/>
    </x:row>
    <x:row r="178" ht="28.5" customHeight="1">
      <x:c r="A178" s="2" t="s">
        <x:v>11</x:v>
      </x:c>
      <x:c r="B178" s="14" t="s">
        <x:v>230</x:v>
      </x:c>
      <x:c r="C178" s="14"/>
      <x:c r="D178" s="14"/>
      <x:c r="E178" s="14"/>
      <x:c r="F178" s="18"/>
      <x:c r="G178" s="14"/>
      <x:c r="H178" s="14"/>
    </x:row>
    <x:row r="179" ht="15" customHeight="1">
      <x:c r="A179" s="2" t="s">
        <x:v>13</x:v>
      </x:c>
      <x:c r="B179" s="15" t="n">
        <x:f>COUNTIF(G187:G189,"Pass")</x:f>
        <x:v>3</x:v>
      </x:c>
      <x:c r="C179" s="15"/>
      <x:c r="D179" s="15"/>
      <x:c r="E179" s="15"/>
      <x:c r="F179" s="15"/>
      <x:c r="G179" s="15"/>
      <x:c r="H179" s="15"/>
    </x:row>
    <x:row r="180" ht="15" customHeight="1">
      <x:c r="A180" s="2" t="s">
        <x:v>14</x:v>
      </x:c>
      <x:c r="B180" s="15" t="n">
        <x:f>COUNTIF(G187:G189,"Fail")</x:f>
        <x:v>0</x:v>
      </x:c>
      <x:c r="C180" s="15"/>
      <x:c r="D180" s="15"/>
      <x:c r="E180" s="15"/>
      <x:c r="F180" s="15"/>
      <x:c r="G180" s="15"/>
      <x:c r="H180" s="15"/>
    </x:row>
    <x:row r="181" ht="15" customHeight="1">
      <x:c r="A181" s="2" t="s">
        <x:v>15</x:v>
      </x:c>
      <x:c r="B181" s="15" t="n">
        <x:f>COUNTIF(G187:G189,"Pending")</x:f>
        <x:v>0</x:v>
      </x:c>
      <x:c r="C181" s="15"/>
      <x:c r="D181" s="15"/>
      <x:c r="E181" s="15"/>
      <x:c r="F181" s="15"/>
      <x:c r="G181" s="15"/>
      <x:c r="H181" s="15"/>
    </x:row>
    <x:row r="182" ht="30" customHeight="1">
      <x:c r="A182" s="11" t="s">
        <x:v>16</x:v>
      </x:c>
      <x:c r="B182" s="16" t="n">
        <x:f>COUNTA(A187:A189)</x:f>
        <x:v>3</x:v>
      </x:c>
      <x:c r="C182" s="16"/>
      <x:c r="D182" s="16"/>
      <x:c r="E182" s="16"/>
      <x:c r="F182" s="16"/>
      <x:c r="G182" s="16"/>
      <x:c r="H182" s="16"/>
    </x:row>
    <x:row r="183" ht="7.5" customHeight="1">
      <x:c r="A183" s="3"/>
      <x:c r="B183" s="3"/>
      <x:c r="C183" s="3"/>
      <x:c r="D183" s="3"/>
      <x:c r="E183" s="3"/>
      <x:c r="F183" s="4"/>
      <x:c r="G183" s="3"/>
      <x:c r="H183" s="3"/>
    </x:row>
    <x:row r="184" ht="7.5" customHeight="1">
      <x:c r="A184" s="3"/>
      <x:c r="B184" s="3"/>
      <x:c r="C184" s="3"/>
      <x:c r="D184" s="3"/>
      <x:c r="E184" s="3"/>
      <x:c r="F184" s="4"/>
      <x:c r="G184" s="3"/>
      <x:c r="H184" s="3"/>
    </x:row>
    <x:row r="185" ht="24" customHeight="1">
      <x:c r="A185" s="6" t="s">
        <x:v>17</x:v>
      </x:c>
      <x:c r="B185" s="6" t="s">
        <x:v>18</x:v>
      </x:c>
      <x:c r="C185" s="6" t="s">
        <x:v>19</x:v>
      </x:c>
      <x:c r="D185" s="6" t="s">
        <x:v>20</x:v>
      </x:c>
      <x:c r="E185" s="6" t="s">
        <x:v>21</x:v>
      </x:c>
      <x:c r="F185" s="8" t="s">
        <x:v>22</x:v>
      </x:c>
      <x:c r="G185" s="6" t="s">
        <x:v>23</x:v>
      </x:c>
      <x:c r="H185" s="6" t="s">
        <x:v>24</x:v>
      </x:c>
    </x:row>
    <x:row r="186" ht="21" customHeight="1">
      <x:c r="A186" s="13" t="s">
        <x:v>231</x:v>
      </x:c>
      <x:c r="B186" s="13"/>
      <x:c r="C186" s="13"/>
      <x:c r="D186" s="13"/>
      <x:c r="E186" s="13"/>
      <x:c r="F186" s="17"/>
      <x:c r="G186" s="13"/>
      <x:c r="H186" s="13"/>
    </x:row>
    <x:row r="187" ht="64.5" customHeight="1">
      <x:c r="A187" s="3" t="s">
        <x:v>232</x:v>
      </x:c>
      <x:c r="B187" s="3" t="s">
        <x:v>233</x:v>
      </x:c>
      <x:c r="C187" s="3" t="s">
        <x:v>234</x:v>
      </x:c>
      <x:c r="D187" s="3" t="s">
        <x:v>235</x:v>
      </x:c>
      <x:c r="E187" s="3" t="s">
        <x:v>236</x:v>
      </x:c>
      <x:c r="F187" s="7">
        <x:v>46158</x:v>
      </x:c>
      <x:c r="G187" s="5" t="s">
        <x:v>13</x:v>
      </x:c>
      <x:c r="H187" s="3" t="s">
        <x:v>237</x:v>
      </x:c>
    </x:row>
    <x:row r="188" ht="64.5" customHeight="1">
      <x:c r="A188" s="3" t="s">
        <x:v>238</x:v>
      </x:c>
      <x:c r="B188" s="3" t="s">
        <x:v>239</x:v>
      </x:c>
      <x:c r="C188" s="3" t="s">
        <x:v>240</x:v>
      </x:c>
      <x:c r="D188" s="3" t="s">
        <x:v>241</x:v>
      </x:c>
      <x:c r="E188" s="3" t="s">
        <x:v>242</x:v>
      </x:c>
      <x:c r="F188" s="7">
        <x:v>46158</x:v>
      </x:c>
      <x:c r="G188" s="5" t="s">
        <x:v>13</x:v>
      </x:c>
      <x:c r="H188" s="3" t="s">
        <x:v>243</x:v>
      </x:c>
    </x:row>
    <x:row r="189" ht="64.5" customHeight="1">
      <x:c r="A189" s="3" t="s">
        <x:v>244</x:v>
      </x:c>
      <x:c r="B189" s="3" t="s">
        <x:v>245</x:v>
      </x:c>
      <x:c r="C189" s="3" t="s">
        <x:v>246</x:v>
      </x:c>
      <x:c r="D189" s="3" t="s">
        <x:v>247</x:v>
      </x:c>
      <x:c r="E189" s="3" t="s">
        <x:v>248</x:v>
      </x:c>
      <x:c r="F189" s="7">
        <x:v>46158</x:v>
      </x:c>
      <x:c r="G189" s="5" t="s">
        <x:v>13</x:v>
      </x:c>
      <x:c r="H189" s="3" t="s">
        <x:v>249</x:v>
      </x:c>
    </x:row>
    <x:row r="190" ht="18" customHeight="1">
      <x:c r="F190" s="1"/>
    </x:row>
    <x:row r="191" ht="18" customHeight="1">
      <x:c r="A191" s="13" t="s">
        <x:v>250</x:v>
      </x:c>
      <x:c r="B191" s="13"/>
      <x:c r="C191" s="13"/>
      <x:c r="D191" s="13"/>
      <x:c r="E191" s="13"/>
      <x:c r="F191" s="17"/>
      <x:c r="G191" s="13"/>
      <x:c r="H191" s="13"/>
    </x:row>
    <x:row r="192" ht="15" customHeight="1">
      <x:c r="A192" s="2" t="s">
        <x:v>1</x:v>
      </x:c>
      <x:c r="B192" s="14" t="s">
        <x:v>2</x:v>
      </x:c>
      <x:c r="C192" s="14"/>
      <x:c r="D192" s="14"/>
      <x:c r="E192" s="14"/>
      <x:c r="F192" s="18"/>
      <x:c r="G192" s="14"/>
      <x:c r="H192" s="14"/>
    </x:row>
    <x:row r="193" ht="15" customHeight="1">
      <x:c r="A193" s="2" t="s">
        <x:v>3</x:v>
      </x:c>
      <x:c r="B193" s="14" t="s">
        <x:v>4</x:v>
      </x:c>
      <x:c r="C193" s="14"/>
      <x:c r="D193" s="14"/>
      <x:c r="E193" s="14"/>
      <x:c r="F193" s="18"/>
      <x:c r="G193" s="14"/>
      <x:c r="H193" s="14"/>
    </x:row>
    <x:row r="194" ht="25.5" customHeight="1">
      <x:c r="A194" s="2" t="s">
        <x:v>5</x:v>
      </x:c>
      <x:c r="B194" s="14" t="s">
        <x:v>251</x:v>
      </x:c>
      <x:c r="C194" s="14"/>
      <x:c r="D194" s="14"/>
      <x:c r="E194" s="14"/>
      <x:c r="F194" s="18"/>
      <x:c r="G194" s="14"/>
      <x:c r="H194" s="14"/>
    </x:row>
    <x:row r="195" ht="70.5" customHeight="1">
      <x:c r="A195" s="2" t="s">
        <x:v>7</x:v>
      </x:c>
      <x:c r="B195" s="14" t="s">
        <x:v>8</x:v>
      </x:c>
      <x:c r="C195" s="14"/>
      <x:c r="D195" s="14"/>
      <x:c r="E195" s="14"/>
      <x:c r="F195" s="18"/>
      <x:c r="G195" s="14"/>
      <x:c r="H195" s="14"/>
    </x:row>
    <x:row r="196" ht="63" customHeight="1">
      <x:c r="A196" s="2" t="s">
        <x:v>9</x:v>
      </x:c>
      <x:c r="B196" s="14" t="s">
        <x:v>252</x:v>
      </x:c>
      <x:c r="C196" s="14"/>
      <x:c r="D196" s="14"/>
      <x:c r="E196" s="14"/>
      <x:c r="F196" s="18"/>
      <x:c r="G196" s="14"/>
      <x:c r="H196" s="14"/>
    </x:row>
    <x:row r="197" ht="28.5" customHeight="1">
      <x:c r="A197" s="2" t="s">
        <x:v>11</x:v>
      </x:c>
      <x:c r="B197" s="14" t="s">
        <x:v>253</x:v>
      </x:c>
      <x:c r="C197" s="14"/>
      <x:c r="D197" s="14"/>
      <x:c r="E197" s="14"/>
      <x:c r="F197" s="18"/>
      <x:c r="G197" s="14"/>
      <x:c r="H197" s="14"/>
    </x:row>
    <x:row r="198" ht="15" customHeight="1">
      <x:c r="A198" s="2" t="s">
        <x:v>13</x:v>
      </x:c>
      <x:c r="B198" s="15" t="n">
        <x:f>COUNTIF(G206:G208,"Pass")</x:f>
        <x:v>3</x:v>
      </x:c>
      <x:c r="C198" s="15"/>
      <x:c r="D198" s="15"/>
      <x:c r="E198" s="15"/>
      <x:c r="F198" s="15"/>
      <x:c r="G198" s="15"/>
      <x:c r="H198" s="15"/>
    </x:row>
    <x:row r="199" ht="15" customHeight="1">
      <x:c r="A199" s="2" t="s">
        <x:v>14</x:v>
      </x:c>
      <x:c r="B199" s="15" t="n">
        <x:f>COUNTIF(G206:G208,"Fail")</x:f>
        <x:v>0</x:v>
      </x:c>
      <x:c r="C199" s="15"/>
      <x:c r="D199" s="15"/>
      <x:c r="E199" s="15"/>
      <x:c r="F199" s="15"/>
      <x:c r="G199" s="15"/>
      <x:c r="H199" s="15"/>
    </x:row>
    <x:row r="200" ht="15" customHeight="1">
      <x:c r="A200" s="2" t="s">
        <x:v>15</x:v>
      </x:c>
      <x:c r="B200" s="15" t="n">
        <x:f>COUNTIF(G206:G208,"Pending")</x:f>
        <x:v>0</x:v>
      </x:c>
      <x:c r="C200" s="15"/>
      <x:c r="D200" s="15"/>
      <x:c r="E200" s="15"/>
      <x:c r="F200" s="15"/>
      <x:c r="G200" s="15"/>
      <x:c r="H200" s="15"/>
    </x:row>
    <x:row r="201" ht="30" customHeight="1">
      <x:c r="A201" s="11" t="s">
        <x:v>16</x:v>
      </x:c>
      <x:c r="B201" s="16" t="n">
        <x:f>COUNTA(A206:A208)</x:f>
        <x:v>3</x:v>
      </x:c>
      <x:c r="C201" s="16"/>
      <x:c r="D201" s="16"/>
      <x:c r="E201" s="16"/>
      <x:c r="F201" s="16"/>
      <x:c r="G201" s="16"/>
      <x:c r="H201" s="16"/>
    </x:row>
    <x:row r="202" ht="7.5" customHeight="1">
      <x:c r="A202" s="3"/>
      <x:c r="B202" s="3"/>
      <x:c r="C202" s="3"/>
      <x:c r="D202" s="3"/>
      <x:c r="E202" s="3"/>
      <x:c r="F202" s="4"/>
      <x:c r="G202" s="3"/>
      <x:c r="H202" s="3"/>
    </x:row>
    <x:row r="203" ht="7.5" customHeight="1">
      <x:c r="A203" s="3"/>
      <x:c r="B203" s="3"/>
      <x:c r="C203" s="3"/>
      <x:c r="D203" s="3"/>
      <x:c r="E203" s="3"/>
      <x:c r="F203" s="4"/>
      <x:c r="G203" s="3"/>
      <x:c r="H203" s="3"/>
    </x:row>
    <x:row r="204" ht="24" customHeight="1">
      <x:c r="A204" s="6" t="s">
        <x:v>17</x:v>
      </x:c>
      <x:c r="B204" s="6" t="s">
        <x:v>18</x:v>
      </x:c>
      <x:c r="C204" s="6" t="s">
        <x:v>19</x:v>
      </x:c>
      <x:c r="D204" s="6" t="s">
        <x:v>20</x:v>
      </x:c>
      <x:c r="E204" s="6" t="s">
        <x:v>21</x:v>
      </x:c>
      <x:c r="F204" s="8" t="s">
        <x:v>22</x:v>
      </x:c>
      <x:c r="G204" s="6" t="s">
        <x:v>23</x:v>
      </x:c>
      <x:c r="H204" s="6" t="s">
        <x:v>24</x:v>
      </x:c>
    </x:row>
    <x:row r="205" ht="21" customHeight="1">
      <x:c r="A205" s="13" t="s">
        <x:v>254</x:v>
      </x:c>
      <x:c r="B205" s="13"/>
      <x:c r="C205" s="13"/>
      <x:c r="D205" s="13"/>
      <x:c r="E205" s="13"/>
      <x:c r="F205" s="17"/>
      <x:c r="G205" s="13"/>
      <x:c r="H205" s="13"/>
    </x:row>
    <x:row r="206" ht="64.5" customHeight="1">
      <x:c r="A206" s="3" t="s">
        <x:v>255</x:v>
      </x:c>
      <x:c r="B206" s="3" t="s">
        <x:v>256</x:v>
      </x:c>
      <x:c r="C206" s="3" t="s">
        <x:v>257</x:v>
      </x:c>
      <x:c r="D206" s="3" t="s">
        <x:v>258</x:v>
      </x:c>
      <x:c r="E206" s="3" t="s">
        <x:v>259</x:v>
      </x:c>
      <x:c r="F206" s="7">
        <x:v>46159</x:v>
      </x:c>
      <x:c r="G206" s="5" t="s">
        <x:v>13</x:v>
      </x:c>
      <x:c r="H206" s="3" t="s">
        <x:v>260</x:v>
      </x:c>
    </x:row>
    <x:row r="207" ht="64.5" customHeight="1">
      <x:c r="A207" s="3" t="s">
        <x:v>261</x:v>
      </x:c>
      <x:c r="B207" s="3" t="s">
        <x:v>33</x:v>
      </x:c>
      <x:c r="C207" s="3" t="s">
        <x:v>262</x:v>
      </x:c>
      <x:c r="D207" s="3" t="s">
        <x:v>263</x:v>
      </x:c>
      <x:c r="E207" s="3" t="s">
        <x:v>264</x:v>
      </x:c>
      <x:c r="F207" s="7">
        <x:v>46159</x:v>
      </x:c>
      <x:c r="G207" s="5" t="s">
        <x:v>13</x:v>
      </x:c>
      <x:c r="H207" s="3" t="s">
        <x:v>265</x:v>
      </x:c>
    </x:row>
    <x:row r="208" ht="64.5" customHeight="1">
      <x:c r="A208" s="3" t="s">
        <x:v>266</x:v>
      </x:c>
      <x:c r="B208" s="3" t="s">
        <x:v>267</x:v>
      </x:c>
      <x:c r="C208" s="3" t="s">
        <x:v>268</x:v>
      </x:c>
      <x:c r="D208" s="3" t="s">
        <x:v>269</x:v>
      </x:c>
      <x:c r="E208" s="3" t="s">
        <x:v>270</x:v>
      </x:c>
      <x:c r="F208" s="7">
        <x:v>46159</x:v>
      </x:c>
      <x:c r="G208" s="5" t="s">
        <x:v>13</x:v>
      </x:c>
      <x:c r="H208" s="3" t="s">
        <x:v>271</x:v>
      </x:c>
    </x:row>
    <x:row r="209" ht="18" customHeight="1">
      <x:c r="F209" s="1"/>
    </x:row>
    <x:row r="210" ht="18" customHeight="1">
      <x:c r="A210" s="13" t="s">
        <x:v>272</x:v>
      </x:c>
      <x:c r="B210" s="13"/>
      <x:c r="C210" s="13"/>
      <x:c r="D210" s="13"/>
      <x:c r="E210" s="13"/>
      <x:c r="F210" s="17"/>
      <x:c r="G210" s="13"/>
      <x:c r="H210" s="13"/>
    </x:row>
    <x:row r="211" ht="15" customHeight="1">
      <x:c r="A211" s="2" t="s">
        <x:v>1</x:v>
      </x:c>
      <x:c r="B211" s="14" t="s">
        <x:v>2</x:v>
      </x:c>
      <x:c r="C211" s="14"/>
      <x:c r="D211" s="14"/>
      <x:c r="E211" s="14"/>
      <x:c r="F211" s="18"/>
      <x:c r="G211" s="14"/>
      <x:c r="H211" s="14"/>
    </x:row>
    <x:row r="212" ht="15" customHeight="1">
      <x:c r="A212" s="2" t="s">
        <x:v>3</x:v>
      </x:c>
      <x:c r="B212" s="14" t="s">
        <x:v>4</x:v>
      </x:c>
      <x:c r="C212" s="14"/>
      <x:c r="D212" s="14"/>
      <x:c r="E212" s="14"/>
      <x:c r="F212" s="18"/>
      <x:c r="G212" s="14"/>
      <x:c r="H212" s="14"/>
    </x:row>
    <x:row r="213" ht="25.5" customHeight="1">
      <x:c r="A213" s="2" t="s">
        <x:v>5</x:v>
      </x:c>
      <x:c r="B213" s="14" t="s">
        <x:v>273</x:v>
      </x:c>
      <x:c r="C213" s="14"/>
      <x:c r="D213" s="14"/>
      <x:c r="E213" s="14"/>
      <x:c r="F213" s="18"/>
      <x:c r="G213" s="14"/>
      <x:c r="H213" s="14"/>
    </x:row>
    <x:row r="214" ht="70.5" customHeight="1">
      <x:c r="A214" s="2" t="s">
        <x:v>7</x:v>
      </x:c>
      <x:c r="B214" s="14" t="s">
        <x:v>8</x:v>
      </x:c>
      <x:c r="C214" s="14"/>
      <x:c r="D214" s="14"/>
      <x:c r="E214" s="14"/>
      <x:c r="F214" s="18"/>
      <x:c r="G214" s="14"/>
      <x:c r="H214" s="14"/>
    </x:row>
    <x:row r="215" ht="63" customHeight="1">
      <x:c r="A215" s="2" t="s">
        <x:v>9</x:v>
      </x:c>
      <x:c r="B215" s="14" t="s">
        <x:v>274</x:v>
      </x:c>
      <x:c r="C215" s="14"/>
      <x:c r="D215" s="14"/>
      <x:c r="E215" s="14"/>
      <x:c r="F215" s="18"/>
      <x:c r="G215" s="14"/>
      <x:c r="H215" s="14"/>
    </x:row>
    <x:row r="216" ht="28.5" customHeight="1">
      <x:c r="A216" s="2" t="s">
        <x:v>11</x:v>
      </x:c>
      <x:c r="B216" s="14" t="s">
        <x:v>275</x:v>
      </x:c>
      <x:c r="C216" s="14"/>
      <x:c r="D216" s="14"/>
      <x:c r="E216" s="14"/>
      <x:c r="F216" s="18"/>
      <x:c r="G216" s="14"/>
      <x:c r="H216" s="14"/>
    </x:row>
    <x:row r="217" ht="15" customHeight="1">
      <x:c r="A217" s="2" t="s">
        <x:v>13</x:v>
      </x:c>
      <x:c r="B217" s="15" t="n">
        <x:f>COUNTIF(G225:G227,"Pass")</x:f>
        <x:v>3</x:v>
      </x:c>
      <x:c r="C217" s="15"/>
      <x:c r="D217" s="15"/>
      <x:c r="E217" s="15"/>
      <x:c r="F217" s="15"/>
      <x:c r="G217" s="15"/>
      <x:c r="H217" s="15"/>
    </x:row>
    <x:row r="218" ht="15" customHeight="1">
      <x:c r="A218" s="2" t="s">
        <x:v>14</x:v>
      </x:c>
      <x:c r="B218" s="15" t="n">
        <x:f>COUNTIF(G225:G227,"Fail")</x:f>
        <x:v>0</x:v>
      </x:c>
      <x:c r="C218" s="15"/>
      <x:c r="D218" s="15"/>
      <x:c r="E218" s="15"/>
      <x:c r="F218" s="15"/>
      <x:c r="G218" s="15"/>
      <x:c r="H218" s="15"/>
    </x:row>
    <x:row r="219" ht="15" customHeight="1">
      <x:c r="A219" s="2" t="s">
        <x:v>15</x:v>
      </x:c>
      <x:c r="B219" s="15" t="n">
        <x:f>COUNTIF(G225:G227,"Pending")</x:f>
        <x:v>0</x:v>
      </x:c>
      <x:c r="C219" s="15"/>
      <x:c r="D219" s="15"/>
      <x:c r="E219" s="15"/>
      <x:c r="F219" s="15"/>
      <x:c r="G219" s="15"/>
      <x:c r="H219" s="15"/>
    </x:row>
    <x:row r="220" ht="30" customHeight="1">
      <x:c r="A220" s="11" t="s">
        <x:v>16</x:v>
      </x:c>
      <x:c r="B220" s="16" t="n">
        <x:f>COUNTA(A225:A227)</x:f>
        <x:v>3</x:v>
      </x:c>
      <x:c r="C220" s="16"/>
      <x:c r="D220" s="16"/>
      <x:c r="E220" s="16"/>
      <x:c r="F220" s="16"/>
      <x:c r="G220" s="16"/>
      <x:c r="H220" s="16"/>
    </x:row>
    <x:row r="221" ht="7.5" customHeight="1">
      <x:c r="A221" s="3"/>
      <x:c r="B221" s="3"/>
      <x:c r="C221" s="3"/>
      <x:c r="D221" s="3"/>
      <x:c r="E221" s="3"/>
      <x:c r="F221" s="4"/>
      <x:c r="G221" s="3"/>
      <x:c r="H221" s="3"/>
    </x:row>
    <x:row r="222" ht="7.5" customHeight="1">
      <x:c r="A222" s="3"/>
      <x:c r="B222" s="3"/>
      <x:c r="C222" s="3"/>
      <x:c r="D222" s="3"/>
      <x:c r="E222" s="3"/>
      <x:c r="F222" s="4"/>
      <x:c r="G222" s="3"/>
      <x:c r="H222" s="3"/>
    </x:row>
    <x:row r="223" ht="24" customHeight="1">
      <x:c r="A223" s="6" t="s">
        <x:v>17</x:v>
      </x:c>
      <x:c r="B223" s="6" t="s">
        <x:v>18</x:v>
      </x:c>
      <x:c r="C223" s="6" t="s">
        <x:v>19</x:v>
      </x:c>
      <x:c r="D223" s="6" t="s">
        <x:v>20</x:v>
      </x:c>
      <x:c r="E223" s="6" t="s">
        <x:v>21</x:v>
      </x:c>
      <x:c r="F223" s="8" t="s">
        <x:v>22</x:v>
      </x:c>
      <x:c r="G223" s="6" t="s">
        <x:v>23</x:v>
      </x:c>
      <x:c r="H223" s="6" t="s">
        <x:v>24</x:v>
      </x:c>
    </x:row>
    <x:row r="224" ht="21" customHeight="1">
      <x:c r="A224" s="13" t="s">
        <x:v>276</x:v>
      </x:c>
      <x:c r="B224" s="13"/>
      <x:c r="C224" s="13"/>
      <x:c r="D224" s="13"/>
      <x:c r="E224" s="13"/>
      <x:c r="F224" s="17"/>
      <x:c r="G224" s="13"/>
      <x:c r="H224" s="13"/>
    </x:row>
    <x:row r="225" ht="64.5" customHeight="1">
      <x:c r="A225" s="3" t="s">
        <x:v>277</x:v>
      </x:c>
      <x:c r="B225" s="3" t="s">
        <x:v>278</x:v>
      </x:c>
      <x:c r="C225" s="3" t="s">
        <x:v>279</x:v>
      </x:c>
      <x:c r="D225" s="3" t="s">
        <x:v>280</x:v>
      </x:c>
      <x:c r="E225" s="3" t="s">
        <x:v>281</x:v>
      </x:c>
      <x:c r="F225" s="7">
        <x:v>46160</x:v>
      </x:c>
      <x:c r="G225" s="5" t="s">
        <x:v>13</x:v>
      </x:c>
      <x:c r="H225" s="3" t="s">
        <x:v>282</x:v>
      </x:c>
    </x:row>
    <x:row r="226" ht="64.5" customHeight="1">
      <x:c r="A226" s="3" t="s">
        <x:v>283</x:v>
      </x:c>
      <x:c r="B226" s="3" t="s">
        <x:v>284</x:v>
      </x:c>
      <x:c r="C226" s="3" t="s">
        <x:v>285</x:v>
      </x:c>
      <x:c r="D226" s="3" t="s">
        <x:v>286</x:v>
      </x:c>
      <x:c r="E226" s="3" t="s">
        <x:v>287</x:v>
      </x:c>
      <x:c r="F226" s="7">
        <x:v>46160</x:v>
      </x:c>
      <x:c r="G226" s="5" t="s">
        <x:v>13</x:v>
      </x:c>
      <x:c r="H226" s="3" t="s">
        <x:v>288</x:v>
      </x:c>
    </x:row>
    <x:row r="227" ht="64.5" customHeight="1">
      <x:c r="A227" s="3" t="s">
        <x:v>289</x:v>
      </x:c>
      <x:c r="B227" s="3" t="s">
        <x:v>290</x:v>
      </x:c>
      <x:c r="C227" s="3" t="s">
        <x:v>291</x:v>
      </x:c>
      <x:c r="D227" s="3" t="s">
        <x:v>292</x:v>
      </x:c>
      <x:c r="E227" s="3" t="s">
        <x:v>293</x:v>
      </x:c>
      <x:c r="F227" s="7">
        <x:v>46160</x:v>
      </x:c>
      <x:c r="G227" s="5" t="s">
        <x:v>13</x:v>
      </x:c>
      <x:c r="H227" s="3" t="s">
        <x:v>294</x:v>
      </x:c>
    </x:row>
    <x:row r="228" ht="18" customHeight="1">
      <x:c r="F228" s="1"/>
    </x:row>
    <x:row r="229" ht="18" customHeight="1">
      <x:c r="A229" s="13" t="s">
        <x:v>295</x:v>
      </x:c>
      <x:c r="B229" s="13"/>
      <x:c r="C229" s="13"/>
      <x:c r="D229" s="13"/>
      <x:c r="E229" s="13"/>
      <x:c r="F229" s="17"/>
      <x:c r="G229" s="13"/>
      <x:c r="H229" s="13"/>
    </x:row>
    <x:row r="230" ht="15" customHeight="1">
      <x:c r="A230" s="2" t="s">
        <x:v>1</x:v>
      </x:c>
      <x:c r="B230" s="14" t="s">
        <x:v>2</x:v>
      </x:c>
      <x:c r="C230" s="14"/>
      <x:c r="D230" s="14"/>
      <x:c r="E230" s="14"/>
      <x:c r="F230" s="18"/>
      <x:c r="G230" s="14"/>
      <x:c r="H230" s="14"/>
    </x:row>
    <x:row r="231" ht="15" customHeight="1">
      <x:c r="A231" s="2" t="s">
        <x:v>3</x:v>
      </x:c>
      <x:c r="B231" s="14" t="s">
        <x:v>4</x:v>
      </x:c>
      <x:c r="C231" s="14"/>
      <x:c r="D231" s="14"/>
      <x:c r="E231" s="14"/>
      <x:c r="F231" s="18"/>
      <x:c r="G231" s="14"/>
      <x:c r="H231" s="14"/>
    </x:row>
    <x:row r="232" ht="25.5" customHeight="1">
      <x:c r="A232" s="2" t="s">
        <x:v>5</x:v>
      </x:c>
      <x:c r="B232" s="14" t="s">
        <x:v>296</x:v>
      </x:c>
      <x:c r="C232" s="14"/>
      <x:c r="D232" s="14"/>
      <x:c r="E232" s="14"/>
      <x:c r="F232" s="18"/>
      <x:c r="G232" s="14"/>
      <x:c r="H232" s="14"/>
    </x:row>
    <x:row r="233" ht="70.5" customHeight="1">
      <x:c r="A233" s="2" t="s">
        <x:v>7</x:v>
      </x:c>
      <x:c r="B233" s="14" t="s">
        <x:v>8</x:v>
      </x:c>
      <x:c r="C233" s="14"/>
      <x:c r="D233" s="14"/>
      <x:c r="E233" s="14"/>
      <x:c r="F233" s="18"/>
      <x:c r="G233" s="14"/>
      <x:c r="H233" s="14"/>
    </x:row>
    <x:row r="234" ht="63" customHeight="1">
      <x:c r="A234" s="2" t="s">
        <x:v>9</x:v>
      </x:c>
      <x:c r="B234" s="14" t="s">
        <x:v>297</x:v>
      </x:c>
      <x:c r="C234" s="14"/>
      <x:c r="D234" s="14"/>
      <x:c r="E234" s="14"/>
      <x:c r="F234" s="18"/>
      <x:c r="G234" s="14"/>
      <x:c r="H234" s="14"/>
    </x:row>
    <x:row r="235" ht="28.5" customHeight="1">
      <x:c r="A235" s="2" t="s">
        <x:v>11</x:v>
      </x:c>
      <x:c r="B235" s="14" t="s">
        <x:v>298</x:v>
      </x:c>
      <x:c r="C235" s="14"/>
      <x:c r="D235" s="14"/>
      <x:c r="E235" s="14"/>
      <x:c r="F235" s="18"/>
      <x:c r="G235" s="14"/>
      <x:c r="H235" s="14"/>
    </x:row>
    <x:row r="236" ht="15" customHeight="1">
      <x:c r="A236" s="2" t="s">
        <x:v>13</x:v>
      </x:c>
      <x:c r="B236" s="15" t="n">
        <x:f>COUNTIF(G244:G246,"Pass")</x:f>
        <x:v>3</x:v>
      </x:c>
      <x:c r="C236" s="15"/>
      <x:c r="D236" s="15"/>
      <x:c r="E236" s="15"/>
      <x:c r="F236" s="15"/>
      <x:c r="G236" s="15"/>
      <x:c r="H236" s="15"/>
    </x:row>
    <x:row r="237" ht="15" customHeight="1">
      <x:c r="A237" s="2" t="s">
        <x:v>14</x:v>
      </x:c>
      <x:c r="B237" s="15" t="n">
        <x:f>COUNTIF(G244:G246,"Fail")</x:f>
        <x:v>0</x:v>
      </x:c>
      <x:c r="C237" s="15"/>
      <x:c r="D237" s="15"/>
      <x:c r="E237" s="15"/>
      <x:c r="F237" s="15"/>
      <x:c r="G237" s="15"/>
      <x:c r="H237" s="15"/>
    </x:row>
    <x:row r="238" ht="15" customHeight="1">
      <x:c r="A238" s="2" t="s">
        <x:v>15</x:v>
      </x:c>
      <x:c r="B238" s="15" t="n">
        <x:f>COUNTIF(G244:G246,"Pending")</x:f>
        <x:v>0</x:v>
      </x:c>
      <x:c r="C238" s="15"/>
      <x:c r="D238" s="15"/>
      <x:c r="E238" s="15"/>
      <x:c r="F238" s="15"/>
      <x:c r="G238" s="15"/>
      <x:c r="H238" s="15"/>
    </x:row>
    <x:row r="239" ht="30" customHeight="1">
      <x:c r="A239" s="11" t="s">
        <x:v>16</x:v>
      </x:c>
      <x:c r="B239" s="16" t="n">
        <x:f>COUNTA(A244:A246)</x:f>
        <x:v>3</x:v>
      </x:c>
      <x:c r="C239" s="16"/>
      <x:c r="D239" s="16"/>
      <x:c r="E239" s="16"/>
      <x:c r="F239" s="16"/>
      <x:c r="G239" s="16"/>
      <x:c r="H239" s="16"/>
    </x:row>
    <x:row r="240" ht="7.5" customHeight="1">
      <x:c r="A240" s="3"/>
      <x:c r="B240" s="3"/>
      <x:c r="C240" s="3"/>
      <x:c r="D240" s="3"/>
      <x:c r="E240" s="3"/>
      <x:c r="F240" s="4"/>
      <x:c r="G240" s="3"/>
      <x:c r="H240" s="3"/>
    </x:row>
    <x:row r="241" ht="7.5" customHeight="1">
      <x:c r="A241" s="3"/>
      <x:c r="B241" s="3"/>
      <x:c r="C241" s="3"/>
      <x:c r="D241" s="3"/>
      <x:c r="E241" s="3"/>
      <x:c r="F241" s="4"/>
      <x:c r="G241" s="3"/>
      <x:c r="H241" s="3"/>
    </x:row>
    <x:row r="242" ht="24" customHeight="1">
      <x:c r="A242" s="6" t="s">
        <x:v>17</x:v>
      </x:c>
      <x:c r="B242" s="6" t="s">
        <x:v>18</x:v>
      </x:c>
      <x:c r="C242" s="6" t="s">
        <x:v>19</x:v>
      </x:c>
      <x:c r="D242" s="6" t="s">
        <x:v>20</x:v>
      </x:c>
      <x:c r="E242" s="6" t="s">
        <x:v>21</x:v>
      </x:c>
      <x:c r="F242" s="8" t="s">
        <x:v>22</x:v>
      </x:c>
      <x:c r="G242" s="6" t="s">
        <x:v>23</x:v>
      </x:c>
      <x:c r="H242" s="6" t="s">
        <x:v>24</x:v>
      </x:c>
    </x:row>
    <x:row r="243" ht="21" customHeight="1">
      <x:c r="A243" s="13" t="s">
        <x:v>299</x:v>
      </x:c>
      <x:c r="B243" s="13"/>
      <x:c r="C243" s="13"/>
      <x:c r="D243" s="13"/>
      <x:c r="E243" s="13"/>
      <x:c r="F243" s="17"/>
      <x:c r="G243" s="13"/>
      <x:c r="H243" s="13"/>
    </x:row>
    <x:row r="244" ht="64.5" customHeight="1">
      <x:c r="A244" s="3" t="s">
        <x:v>300</x:v>
      </x:c>
      <x:c r="B244" s="3" t="s">
        <x:v>301</x:v>
      </x:c>
      <x:c r="C244" s="3" t="s">
        <x:v>302</x:v>
      </x:c>
      <x:c r="D244" s="3" t="s">
        <x:v>303</x:v>
      </x:c>
      <x:c r="E244" s="3" t="s">
        <x:v>304</x:v>
      </x:c>
      <x:c r="F244" s="7">
        <x:v>46160</x:v>
      </x:c>
      <x:c r="G244" s="5" t="s">
        <x:v>13</x:v>
      </x:c>
      <x:c r="H244" s="3" t="s">
        <x:v>305</x:v>
      </x:c>
    </x:row>
    <x:row r="245" ht="64.5" customHeight="1">
      <x:c r="A245" s="3" t="s">
        <x:v>306</x:v>
      </x:c>
      <x:c r="B245" s="3" t="s">
        <x:v>307</x:v>
      </x:c>
      <x:c r="C245" s="3" t="s">
        <x:v>308</x:v>
      </x:c>
      <x:c r="D245" s="3" t="s">
        <x:v>263</x:v>
      </x:c>
      <x:c r="E245" s="3" t="s">
        <x:v>309</x:v>
      </x:c>
      <x:c r="F245" s="7">
        <x:v>46160</x:v>
      </x:c>
      <x:c r="G245" s="5" t="s">
        <x:v>13</x:v>
      </x:c>
      <x:c r="H245" s="3" t="s">
        <x:v>310</x:v>
      </x:c>
    </x:row>
    <x:row r="246" ht="64.5" customHeight="1">
      <x:c r="A246" s="3" t="s">
        <x:v>311</x:v>
      </x:c>
      <x:c r="B246" s="3" t="s">
        <x:v>312</x:v>
      </x:c>
      <x:c r="C246" s="3" t="s">
        <x:v>313</x:v>
      </x:c>
      <x:c r="D246" s="3" t="s">
        <x:v>314</x:v>
      </x:c>
      <x:c r="E246" s="3" t="s">
        <x:v>315</x:v>
      </x:c>
      <x:c r="F246" s="7">
        <x:v>46160</x:v>
      </x:c>
      <x:c r="G246" s="5" t="s">
        <x:v>13</x:v>
      </x:c>
      <x:c r="H246" s="3" t="s">
        <x:v>316</x:v>
      </x:c>
    </x:row>
    <x:row r="247" ht="18" customHeight="1">
      <x:c r="F247" s="1"/>
    </x:row>
    <x:row r="248" ht="18" customHeight="1">
      <x:c r="A248" s="13" t="s">
        <x:v>317</x:v>
      </x:c>
      <x:c r="B248" s="13"/>
      <x:c r="C248" s="13"/>
      <x:c r="D248" s="13"/>
      <x:c r="E248" s="13"/>
      <x:c r="F248" s="17"/>
      <x:c r="G248" s="13"/>
      <x:c r="H248" s="13"/>
    </x:row>
    <x:row r="249" ht="15" customHeight="1">
      <x:c r="A249" s="2" t="s">
        <x:v>1</x:v>
      </x:c>
      <x:c r="B249" s="14" t="s">
        <x:v>2</x:v>
      </x:c>
      <x:c r="C249" s="14"/>
      <x:c r="D249" s="14"/>
      <x:c r="E249" s="14"/>
      <x:c r="F249" s="18"/>
      <x:c r="G249" s="14"/>
      <x:c r="H249" s="14"/>
    </x:row>
    <x:row r="250" ht="15" customHeight="1">
      <x:c r="A250" s="2" t="s">
        <x:v>3</x:v>
      </x:c>
      <x:c r="B250" s="14" t="s">
        <x:v>4</x:v>
      </x:c>
      <x:c r="C250" s="14"/>
      <x:c r="D250" s="14"/>
      <x:c r="E250" s="14"/>
      <x:c r="F250" s="18"/>
      <x:c r="G250" s="14"/>
      <x:c r="H250" s="14"/>
    </x:row>
    <x:row r="251" ht="25.5" customHeight="1">
      <x:c r="A251" s="2" t="s">
        <x:v>5</x:v>
      </x:c>
      <x:c r="B251" s="14" t="s">
        <x:v>318</x:v>
      </x:c>
      <x:c r="C251" s="14"/>
      <x:c r="D251" s="14"/>
      <x:c r="E251" s="14"/>
      <x:c r="F251" s="18"/>
      <x:c r="G251" s="14"/>
      <x:c r="H251" s="14"/>
    </x:row>
    <x:row r="252" ht="70.5" customHeight="1">
      <x:c r="A252" s="2" t="s">
        <x:v>7</x:v>
      </x:c>
      <x:c r="B252" s="14" t="s">
        <x:v>8</x:v>
      </x:c>
      <x:c r="C252" s="14"/>
      <x:c r="D252" s="14"/>
      <x:c r="E252" s="14"/>
      <x:c r="F252" s="18"/>
      <x:c r="G252" s="14"/>
      <x:c r="H252" s="14"/>
    </x:row>
    <x:row r="253" ht="63" customHeight="1">
      <x:c r="A253" s="2" t="s">
        <x:v>9</x:v>
      </x:c>
      <x:c r="B253" s="14" t="s">
        <x:v>319</x:v>
      </x:c>
      <x:c r="C253" s="14"/>
      <x:c r="D253" s="14"/>
      <x:c r="E253" s="14"/>
      <x:c r="F253" s="18"/>
      <x:c r="G253" s="14"/>
      <x:c r="H253" s="14"/>
    </x:row>
    <x:row r="254" ht="28.5" customHeight="1">
      <x:c r="A254" s="2" t="s">
        <x:v>11</x:v>
      </x:c>
      <x:c r="B254" s="14" t="s">
        <x:v>320</x:v>
      </x:c>
      <x:c r="C254" s="14"/>
      <x:c r="D254" s="14"/>
      <x:c r="E254" s="14"/>
      <x:c r="F254" s="18"/>
      <x:c r="G254" s="14"/>
      <x:c r="H254" s="14"/>
    </x:row>
    <x:row r="255" ht="15" customHeight="1">
      <x:c r="A255" s="2" t="s">
        <x:v>13</x:v>
      </x:c>
      <x:c r="B255" s="15" t="n">
        <x:f>COUNTIF(G263:G265,"Pass")</x:f>
        <x:v>3</x:v>
      </x:c>
      <x:c r="C255" s="15"/>
      <x:c r="D255" s="15"/>
      <x:c r="E255" s="15"/>
      <x:c r="F255" s="15"/>
      <x:c r="G255" s="15"/>
      <x:c r="H255" s="15"/>
    </x:row>
    <x:row r="256" ht="15" customHeight="1">
      <x:c r="A256" s="2" t="s">
        <x:v>14</x:v>
      </x:c>
      <x:c r="B256" s="15" t="n">
        <x:f>COUNTIF(G263:G265,"Fail")</x:f>
        <x:v>0</x:v>
      </x:c>
      <x:c r="C256" s="15"/>
      <x:c r="D256" s="15"/>
      <x:c r="E256" s="15"/>
      <x:c r="F256" s="15"/>
      <x:c r="G256" s="15"/>
      <x:c r="H256" s="15"/>
    </x:row>
    <x:row r="257" ht="15" customHeight="1">
      <x:c r="A257" s="2" t="s">
        <x:v>15</x:v>
      </x:c>
      <x:c r="B257" s="15" t="n">
        <x:f>COUNTIF(G263:G265,"Pending")</x:f>
        <x:v>0</x:v>
      </x:c>
      <x:c r="C257" s="15"/>
      <x:c r="D257" s="15"/>
      <x:c r="E257" s="15"/>
      <x:c r="F257" s="15"/>
      <x:c r="G257" s="15"/>
      <x:c r="H257" s="15"/>
    </x:row>
    <x:row r="258" ht="30" customHeight="1">
      <x:c r="A258" s="11" t="s">
        <x:v>16</x:v>
      </x:c>
      <x:c r="B258" s="16" t="n">
        <x:f>COUNTA(A263:A265)</x:f>
        <x:v>3</x:v>
      </x:c>
      <x:c r="C258" s="16"/>
      <x:c r="D258" s="16"/>
      <x:c r="E258" s="16"/>
      <x:c r="F258" s="16"/>
      <x:c r="G258" s="16"/>
      <x:c r="H258" s="16"/>
    </x:row>
    <x:row r="259" ht="7.5" customHeight="1">
      <x:c r="A259" s="3"/>
      <x:c r="B259" s="3"/>
      <x:c r="C259" s="3"/>
      <x:c r="D259" s="3"/>
      <x:c r="E259" s="3"/>
      <x:c r="F259" s="4"/>
      <x:c r="G259" s="3"/>
      <x:c r="H259" s="3"/>
    </x:row>
    <x:row r="260" ht="7.5" customHeight="1">
      <x:c r="A260" s="3"/>
      <x:c r="B260" s="3"/>
      <x:c r="C260" s="3"/>
      <x:c r="D260" s="3"/>
      <x:c r="E260" s="3"/>
      <x:c r="F260" s="4"/>
      <x:c r="G260" s="3"/>
      <x:c r="H260" s="3"/>
    </x:row>
    <x:row r="261" ht="24" customHeight="1">
      <x:c r="A261" s="6" t="s">
        <x:v>17</x:v>
      </x:c>
      <x:c r="B261" s="6" t="s">
        <x:v>18</x:v>
      </x:c>
      <x:c r="C261" s="6" t="s">
        <x:v>19</x:v>
      </x:c>
      <x:c r="D261" s="6" t="s">
        <x:v>20</x:v>
      </x:c>
      <x:c r="E261" s="6" t="s">
        <x:v>21</x:v>
      </x:c>
      <x:c r="F261" s="8" t="s">
        <x:v>22</x:v>
      </x:c>
      <x:c r="G261" s="6" t="s">
        <x:v>23</x:v>
      </x:c>
      <x:c r="H261" s="6" t="s">
        <x:v>24</x:v>
      </x:c>
    </x:row>
    <x:row r="262" ht="21" customHeight="1">
      <x:c r="A262" s="13" t="s">
        <x:v>321</x:v>
      </x:c>
      <x:c r="B262" s="13"/>
      <x:c r="C262" s="13"/>
      <x:c r="D262" s="13"/>
      <x:c r="E262" s="13"/>
      <x:c r="F262" s="17"/>
      <x:c r="G262" s="13"/>
      <x:c r="H262" s="13"/>
    </x:row>
    <x:row r="263" ht="64.5" customHeight="1">
      <x:c r="A263" s="3" t="s">
        <x:v>322</x:v>
      </x:c>
      <x:c r="B263" s="3" t="s">
        <x:v>323</x:v>
      </x:c>
      <x:c r="C263" s="3" t="s">
        <x:v>324</x:v>
      </x:c>
      <x:c r="D263" s="3" t="s">
        <x:v>325</x:v>
      </x:c>
      <x:c r="E263" s="3" t="s">
        <x:v>326</x:v>
      </x:c>
      <x:c r="F263" s="7">
        <x:v>46161</x:v>
      </x:c>
      <x:c r="G263" s="5" t="s">
        <x:v>13</x:v>
      </x:c>
      <x:c r="H263" s="3" t="s">
        <x:v>327</x:v>
      </x:c>
    </x:row>
    <x:row r="264" ht="64.5" customHeight="1">
      <x:c r="A264" s="3" t="s">
        <x:v>328</x:v>
      </x:c>
      <x:c r="B264" s="3" t="s">
        <x:v>329</x:v>
      </x:c>
      <x:c r="C264" s="3" t="s">
        <x:v>330</x:v>
      </x:c>
      <x:c r="D264" s="3" t="s">
        <x:v>331</x:v>
      </x:c>
      <x:c r="E264" s="3" t="s">
        <x:v>332</x:v>
      </x:c>
      <x:c r="F264" s="7">
        <x:v>46161</x:v>
      </x:c>
      <x:c r="G264" s="5" t="s">
        <x:v>13</x:v>
      </x:c>
      <x:c r="H264" s="3" t="s">
        <x:v>333</x:v>
      </x:c>
    </x:row>
    <x:row r="265" ht="64.5" customHeight="1">
      <x:c r="A265" s="3" t="s">
        <x:v>334</x:v>
      </x:c>
      <x:c r="B265" s="3" t="s">
        <x:v>335</x:v>
      </x:c>
      <x:c r="C265" s="3" t="s">
        <x:v>336</x:v>
      </x:c>
      <x:c r="D265" s="3" t="s">
        <x:v>337</x:v>
      </x:c>
      <x:c r="E265" s="3" t="s">
        <x:v>338</x:v>
      </x:c>
      <x:c r="F265" s="7">
        <x:v>46161</x:v>
      </x:c>
      <x:c r="G265" s="5" t="s">
        <x:v>13</x:v>
      </x:c>
      <x:c r="H265" s="3" t="s">
        <x:v>339</x:v>
      </x:c>
    </x:row>
    <x:row r="266" ht="18" customHeight="1">
      <x:c r="F266" s="1"/>
    </x:row>
    <x:row r="267" ht="18" customHeight="1">
      <x:c r="A267" s="13" t="s">
        <x:v>340</x:v>
      </x:c>
      <x:c r="B267" s="13"/>
      <x:c r="C267" s="13"/>
      <x:c r="D267" s="13"/>
      <x:c r="E267" s="13"/>
      <x:c r="F267" s="17"/>
      <x:c r="G267" s="13"/>
      <x:c r="H267" s="13"/>
    </x:row>
    <x:row r="268" ht="15" customHeight="1">
      <x:c r="A268" s="2" t="s">
        <x:v>1</x:v>
      </x:c>
      <x:c r="B268" s="14" t="s">
        <x:v>2</x:v>
      </x:c>
      <x:c r="C268" s="14"/>
      <x:c r="D268" s="14"/>
      <x:c r="E268" s="14"/>
      <x:c r="F268" s="18"/>
      <x:c r="G268" s="14"/>
      <x:c r="H268" s="14"/>
    </x:row>
    <x:row r="269" ht="15" customHeight="1">
      <x:c r="A269" s="2" t="s">
        <x:v>3</x:v>
      </x:c>
      <x:c r="B269" s="14" t="s">
        <x:v>4</x:v>
      </x:c>
      <x:c r="C269" s="14"/>
      <x:c r="D269" s="14"/>
      <x:c r="E269" s="14"/>
      <x:c r="F269" s="18"/>
      <x:c r="G269" s="14"/>
      <x:c r="H269" s="14"/>
    </x:row>
    <x:row r="270" ht="25.5" customHeight="1">
      <x:c r="A270" s="2" t="s">
        <x:v>5</x:v>
      </x:c>
      <x:c r="B270" s="14" t="s">
        <x:v>341</x:v>
      </x:c>
      <x:c r="C270" s="14"/>
      <x:c r="D270" s="14"/>
      <x:c r="E270" s="14"/>
      <x:c r="F270" s="18"/>
      <x:c r="G270" s="14"/>
      <x:c r="H270" s="14"/>
    </x:row>
    <x:row r="271" ht="70.5" customHeight="1">
      <x:c r="A271" s="2" t="s">
        <x:v>7</x:v>
      </x:c>
      <x:c r="B271" s="14" t="s">
        <x:v>8</x:v>
      </x:c>
      <x:c r="C271" s="14"/>
      <x:c r="D271" s="14"/>
      <x:c r="E271" s="14"/>
      <x:c r="F271" s="18"/>
      <x:c r="G271" s="14"/>
      <x:c r="H271" s="14"/>
    </x:row>
    <x:row r="272" ht="63" customHeight="1">
      <x:c r="A272" s="2" t="s">
        <x:v>9</x:v>
      </x:c>
      <x:c r="B272" s="14" t="s">
        <x:v>342</x:v>
      </x:c>
      <x:c r="C272" s="14"/>
      <x:c r="D272" s="14"/>
      <x:c r="E272" s="14"/>
      <x:c r="F272" s="18"/>
      <x:c r="G272" s="14"/>
      <x:c r="H272" s="14"/>
    </x:row>
    <x:row r="273" ht="28.5" customHeight="1">
      <x:c r="A273" s="2" t="s">
        <x:v>11</x:v>
      </x:c>
      <x:c r="B273" s="14" t="s">
        <x:v>343</x:v>
      </x:c>
      <x:c r="C273" s="14"/>
      <x:c r="D273" s="14"/>
      <x:c r="E273" s="14"/>
      <x:c r="F273" s="18"/>
      <x:c r="G273" s="14"/>
      <x:c r="H273" s="14"/>
    </x:row>
    <x:row r="274" ht="15" customHeight="1">
      <x:c r="A274" s="2" t="s">
        <x:v>13</x:v>
      </x:c>
      <x:c r="B274" s="15" t="n">
        <x:f>COUNTIF(G282:G284,"Pass")</x:f>
        <x:v>3</x:v>
      </x:c>
      <x:c r="C274" s="15"/>
      <x:c r="D274" s="15"/>
      <x:c r="E274" s="15"/>
      <x:c r="F274" s="15"/>
      <x:c r="G274" s="15"/>
      <x:c r="H274" s="15"/>
    </x:row>
    <x:row r="275" ht="15" customHeight="1">
      <x:c r="A275" s="2" t="s">
        <x:v>14</x:v>
      </x:c>
      <x:c r="B275" s="15" t="n">
        <x:f>COUNTIF(G282:G284,"Fail")</x:f>
        <x:v>0</x:v>
      </x:c>
      <x:c r="C275" s="15"/>
      <x:c r="D275" s="15"/>
      <x:c r="E275" s="15"/>
      <x:c r="F275" s="15"/>
      <x:c r="G275" s="15"/>
      <x:c r="H275" s="15"/>
    </x:row>
    <x:row r="276" ht="15" customHeight="1">
      <x:c r="A276" s="2" t="s">
        <x:v>15</x:v>
      </x:c>
      <x:c r="B276" s="15" t="n">
        <x:f>COUNTIF(G282:G284,"Pending")</x:f>
        <x:v>0</x:v>
      </x:c>
      <x:c r="C276" s="15"/>
      <x:c r="D276" s="15"/>
      <x:c r="E276" s="15"/>
      <x:c r="F276" s="15"/>
      <x:c r="G276" s="15"/>
      <x:c r="H276" s="15"/>
    </x:row>
    <x:row r="277" ht="30" customHeight="1">
      <x:c r="A277" s="11" t="s">
        <x:v>16</x:v>
      </x:c>
      <x:c r="B277" s="16" t="n">
        <x:f>COUNTA(A282:A284)</x:f>
        <x:v>3</x:v>
      </x:c>
      <x:c r="C277" s="16"/>
      <x:c r="D277" s="16"/>
      <x:c r="E277" s="16"/>
      <x:c r="F277" s="16"/>
      <x:c r="G277" s="16"/>
      <x:c r="H277" s="16"/>
    </x:row>
    <x:row r="278" ht="7.5" customHeight="1">
      <x:c r="A278" s="3"/>
      <x:c r="B278" s="3"/>
      <x:c r="C278" s="3"/>
      <x:c r="D278" s="3"/>
      <x:c r="E278" s="3"/>
      <x:c r="F278" s="4"/>
      <x:c r="G278" s="3"/>
      <x:c r="H278" s="3"/>
    </x:row>
    <x:row r="279" ht="7.5" customHeight="1">
      <x:c r="A279" s="3"/>
      <x:c r="B279" s="3"/>
      <x:c r="C279" s="3"/>
      <x:c r="D279" s="3"/>
      <x:c r="E279" s="3"/>
      <x:c r="F279" s="4"/>
      <x:c r="G279" s="3"/>
      <x:c r="H279" s="3"/>
    </x:row>
    <x:row r="280" ht="24" customHeight="1">
      <x:c r="A280" s="6" t="s">
        <x:v>17</x:v>
      </x:c>
      <x:c r="B280" s="6" t="s">
        <x:v>18</x:v>
      </x:c>
      <x:c r="C280" s="6" t="s">
        <x:v>19</x:v>
      </x:c>
      <x:c r="D280" s="6" t="s">
        <x:v>20</x:v>
      </x:c>
      <x:c r="E280" s="6" t="s">
        <x:v>21</x:v>
      </x:c>
      <x:c r="F280" s="8" t="s">
        <x:v>22</x:v>
      </x:c>
      <x:c r="G280" s="6" t="s">
        <x:v>23</x:v>
      </x:c>
      <x:c r="H280" s="6" t="s">
        <x:v>24</x:v>
      </x:c>
    </x:row>
    <x:row r="281" ht="21" customHeight="1">
      <x:c r="A281" s="13" t="s">
        <x:v>344</x:v>
      </x:c>
      <x:c r="B281" s="13"/>
      <x:c r="C281" s="13"/>
      <x:c r="D281" s="13"/>
      <x:c r="E281" s="13"/>
      <x:c r="F281" s="17"/>
      <x:c r="G281" s="13"/>
      <x:c r="H281" s="13"/>
    </x:row>
    <x:row r="282" ht="64.5" customHeight="1">
      <x:c r="A282" s="3" t="s">
        <x:v>345</x:v>
      </x:c>
      <x:c r="B282" s="3" t="s">
        <x:v>346</x:v>
      </x:c>
      <x:c r="C282" s="3" t="s">
        <x:v>347</x:v>
      </x:c>
      <x:c r="D282" s="3" t="s">
        <x:v>348</x:v>
      </x:c>
      <x:c r="E282" s="3" t="s">
        <x:v>349</x:v>
      </x:c>
      <x:c r="F282" s="7">
        <x:v>46162</x:v>
      </x:c>
      <x:c r="G282" s="5" t="s">
        <x:v>13</x:v>
      </x:c>
      <x:c r="H282" s="3" t="s">
        <x:v>350</x:v>
      </x:c>
    </x:row>
    <x:row r="283" ht="64.5" customHeight="1">
      <x:c r="A283" s="3" t="s">
        <x:v>351</x:v>
      </x:c>
      <x:c r="B283" s="3" t="s">
        <x:v>352</x:v>
      </x:c>
      <x:c r="C283" s="3" t="s">
        <x:v>353</x:v>
      </x:c>
      <x:c r="D283" s="3" t="s">
        <x:v>354</x:v>
      </x:c>
      <x:c r="E283" s="3" t="s">
        <x:v>355</x:v>
      </x:c>
      <x:c r="F283" s="7">
        <x:v>46162</x:v>
      </x:c>
      <x:c r="G283" s="5" t="s">
        <x:v>13</x:v>
      </x:c>
      <x:c r="H283" s="3" t="s">
        <x:v>356</x:v>
      </x:c>
    </x:row>
    <x:row r="284" ht="64.5" customHeight="1">
      <x:c r="A284" s="3" t="s">
        <x:v>357</x:v>
      </x:c>
      <x:c r="B284" s="3" t="s">
        <x:v>358</x:v>
      </x:c>
      <x:c r="C284" s="3" t="s">
        <x:v>359</x:v>
      </x:c>
      <x:c r="D284" s="3" t="s">
        <x:v>360</x:v>
      </x:c>
      <x:c r="E284" s="3" t="s">
        <x:v>361</x:v>
      </x:c>
      <x:c r="F284" s="7">
        <x:v>46162</x:v>
      </x:c>
      <x:c r="G284" s="5" t="s">
        <x:v>13</x:v>
      </x:c>
      <x:c r="H284" s="3" t="s">
        <x:v>362</x:v>
      </x:c>
    </x:row>
    <x:row r="285" ht="18" customHeight="1">
      <x:c r="F285" s="1"/>
    </x:row>
    <x:row r="286" ht="18" customHeight="1">
      <x:c r="A286" s="13" t="s">
        <x:v>363</x:v>
      </x:c>
      <x:c r="B286" s="13"/>
      <x:c r="C286" s="13"/>
      <x:c r="D286" s="13"/>
      <x:c r="E286" s="13"/>
      <x:c r="F286" s="17"/>
      <x:c r="G286" s="13"/>
      <x:c r="H286" s="13"/>
    </x:row>
    <x:row r="287" ht="15" customHeight="1">
      <x:c r="A287" s="2" t="s">
        <x:v>1</x:v>
      </x:c>
      <x:c r="B287" s="14" t="s">
        <x:v>2</x:v>
      </x:c>
      <x:c r="C287" s="14"/>
      <x:c r="D287" s="14"/>
      <x:c r="E287" s="14"/>
      <x:c r="F287" s="18"/>
      <x:c r="G287" s="14"/>
      <x:c r="H287" s="14"/>
    </x:row>
    <x:row r="288" ht="15" customHeight="1">
      <x:c r="A288" s="2" t="s">
        <x:v>3</x:v>
      </x:c>
      <x:c r="B288" s="14" t="s">
        <x:v>4</x:v>
      </x:c>
      <x:c r="C288" s="14"/>
      <x:c r="D288" s="14"/>
      <x:c r="E288" s="14"/>
      <x:c r="F288" s="18"/>
      <x:c r="G288" s="14"/>
      <x:c r="H288" s="14"/>
    </x:row>
    <x:row r="289" ht="25.5" customHeight="1">
      <x:c r="A289" s="2" t="s">
        <x:v>5</x:v>
      </x:c>
      <x:c r="B289" s="14" t="s">
        <x:v>364</x:v>
      </x:c>
      <x:c r="C289" s="14"/>
      <x:c r="D289" s="14"/>
      <x:c r="E289" s="14"/>
      <x:c r="F289" s="18"/>
      <x:c r="G289" s="14"/>
      <x:c r="H289" s="14"/>
    </x:row>
    <x:row r="290" ht="70.5" customHeight="1">
      <x:c r="A290" s="2" t="s">
        <x:v>7</x:v>
      </x:c>
      <x:c r="B290" s="14" t="s">
        <x:v>8</x:v>
      </x:c>
      <x:c r="C290" s="14"/>
      <x:c r="D290" s="14"/>
      <x:c r="E290" s="14"/>
      <x:c r="F290" s="18"/>
      <x:c r="G290" s="14"/>
      <x:c r="H290" s="14"/>
    </x:row>
    <x:row r="291" ht="63" customHeight="1">
      <x:c r="A291" s="2" t="s">
        <x:v>9</x:v>
      </x:c>
      <x:c r="B291" s="14" t="s">
        <x:v>365</x:v>
      </x:c>
      <x:c r="C291" s="14"/>
      <x:c r="D291" s="14"/>
      <x:c r="E291" s="14"/>
      <x:c r="F291" s="18"/>
      <x:c r="G291" s="14"/>
      <x:c r="H291" s="14"/>
    </x:row>
    <x:row r="292" ht="28.5" customHeight="1">
      <x:c r="A292" s="2" t="s">
        <x:v>11</x:v>
      </x:c>
      <x:c r="B292" s="14" t="s">
        <x:v>366</x:v>
      </x:c>
      <x:c r="C292" s="14"/>
      <x:c r="D292" s="14"/>
      <x:c r="E292" s="14"/>
      <x:c r="F292" s="18"/>
      <x:c r="G292" s="14"/>
      <x:c r="H292" s="14"/>
    </x:row>
    <x:row r="293" ht="15" customHeight="1">
      <x:c r="A293" s="2" t="s">
        <x:v>13</x:v>
      </x:c>
      <x:c r="B293" s="15" t="n">
        <x:f>COUNTIF(G301:G303,"Pass")</x:f>
        <x:v>3</x:v>
      </x:c>
      <x:c r="C293" s="15"/>
      <x:c r="D293" s="15"/>
      <x:c r="E293" s="15"/>
      <x:c r="F293" s="15"/>
      <x:c r="G293" s="15"/>
      <x:c r="H293" s="15"/>
    </x:row>
    <x:row r="294" ht="15" customHeight="1">
      <x:c r="A294" s="2" t="s">
        <x:v>14</x:v>
      </x:c>
      <x:c r="B294" s="15" t="n">
        <x:f>COUNTIF(G301:G303,"Fail")</x:f>
        <x:v>0</x:v>
      </x:c>
      <x:c r="C294" s="15"/>
      <x:c r="D294" s="15"/>
      <x:c r="E294" s="15"/>
      <x:c r="F294" s="15"/>
      <x:c r="G294" s="15"/>
      <x:c r="H294" s="15"/>
    </x:row>
    <x:row r="295" ht="15" customHeight="1">
      <x:c r="A295" s="2" t="s">
        <x:v>15</x:v>
      </x:c>
      <x:c r="B295" s="15" t="n">
        <x:f>COUNTIF(G301:G303,"Pending")</x:f>
        <x:v>0</x:v>
      </x:c>
      <x:c r="C295" s="15"/>
      <x:c r="D295" s="15"/>
      <x:c r="E295" s="15"/>
      <x:c r="F295" s="15"/>
      <x:c r="G295" s="15"/>
      <x:c r="H295" s="15"/>
    </x:row>
    <x:row r="296" ht="30" customHeight="1">
      <x:c r="A296" s="11" t="s">
        <x:v>16</x:v>
      </x:c>
      <x:c r="B296" s="16" t="n">
        <x:f>COUNTA(A301:A303)</x:f>
        <x:v>3</x:v>
      </x:c>
      <x:c r="C296" s="16"/>
      <x:c r="D296" s="16"/>
      <x:c r="E296" s="16"/>
      <x:c r="F296" s="16"/>
      <x:c r="G296" s="16"/>
      <x:c r="H296" s="16"/>
    </x:row>
    <x:row r="297" ht="7.5" customHeight="1">
      <x:c r="A297" s="3"/>
      <x:c r="B297" s="3"/>
      <x:c r="C297" s="3"/>
      <x:c r="D297" s="3"/>
      <x:c r="E297" s="3"/>
      <x:c r="F297" s="4"/>
      <x:c r="G297" s="3"/>
      <x:c r="H297" s="3"/>
    </x:row>
    <x:row r="298" ht="7.5" customHeight="1">
      <x:c r="A298" s="3"/>
      <x:c r="B298" s="3"/>
      <x:c r="C298" s="3"/>
      <x:c r="D298" s="3"/>
      <x:c r="E298" s="3"/>
      <x:c r="F298" s="4"/>
      <x:c r="G298" s="3"/>
      <x:c r="H298" s="3"/>
    </x:row>
    <x:row r="299" ht="24" customHeight="1">
      <x:c r="A299" s="6" t="s">
        <x:v>17</x:v>
      </x:c>
      <x:c r="B299" s="6" t="s">
        <x:v>18</x:v>
      </x:c>
      <x:c r="C299" s="6" t="s">
        <x:v>19</x:v>
      </x:c>
      <x:c r="D299" s="6" t="s">
        <x:v>20</x:v>
      </x:c>
      <x:c r="E299" s="6" t="s">
        <x:v>21</x:v>
      </x:c>
      <x:c r="F299" s="8" t="s">
        <x:v>22</x:v>
      </x:c>
      <x:c r="G299" s="6" t="s">
        <x:v>23</x:v>
      </x:c>
      <x:c r="H299" s="6" t="s">
        <x:v>24</x:v>
      </x:c>
    </x:row>
    <x:row r="300" ht="21" customHeight="1">
      <x:c r="A300" s="13" t="s">
        <x:v>367</x:v>
      </x:c>
      <x:c r="B300" s="13"/>
      <x:c r="C300" s="13"/>
      <x:c r="D300" s="13"/>
      <x:c r="E300" s="13"/>
      <x:c r="F300" s="17"/>
      <x:c r="G300" s="13"/>
      <x:c r="H300" s="13"/>
    </x:row>
    <x:row r="301" ht="64.5" customHeight="1">
      <x:c r="A301" s="3" t="s">
        <x:v>368</x:v>
      </x:c>
      <x:c r="B301" s="3" t="s">
        <x:v>369</x:v>
      </x:c>
      <x:c r="C301" s="3" t="s">
        <x:v>370</x:v>
      </x:c>
      <x:c r="D301" s="3" t="s">
        <x:v>371</x:v>
      </x:c>
      <x:c r="E301" s="3" t="s">
        <x:v>372</x:v>
      </x:c>
      <x:c r="F301" s="7">
        <x:v>46163</x:v>
      </x:c>
      <x:c r="G301" s="5" t="s">
        <x:v>13</x:v>
      </x:c>
      <x:c r="H301" s="3" t="s">
        <x:v>373</x:v>
      </x:c>
    </x:row>
    <x:row r="302" ht="64.5" customHeight="1">
      <x:c r="A302" s="3" t="s">
        <x:v>374</x:v>
      </x:c>
      <x:c r="B302" s="3" t="s">
        <x:v>375</x:v>
      </x:c>
      <x:c r="C302" s="3" t="s">
        <x:v>376</x:v>
      </x:c>
      <x:c r="D302" s="3" t="s">
        <x:v>377</x:v>
      </x:c>
      <x:c r="E302" s="3" t="s">
        <x:v>378</x:v>
      </x:c>
      <x:c r="F302" s="7">
        <x:v>46163</x:v>
      </x:c>
      <x:c r="G302" s="5" t="s">
        <x:v>13</x:v>
      </x:c>
      <x:c r="H302" s="3" t="s">
        <x:v>379</x:v>
      </x:c>
    </x:row>
    <x:row r="303" ht="64.5" customHeight="1">
      <x:c r="A303" s="3" t="s">
        <x:v>380</x:v>
      </x:c>
      <x:c r="B303" s="3" t="s">
        <x:v>381</x:v>
      </x:c>
      <x:c r="C303" s="3" t="s">
        <x:v>382</x:v>
      </x:c>
      <x:c r="D303" s="3" t="s">
        <x:v>383</x:v>
      </x:c>
      <x:c r="E303" s="3" t="s">
        <x:v>384</x:v>
      </x:c>
      <x:c r="F303" s="7">
        <x:v>46163</x:v>
      </x:c>
      <x:c r="G303" s="5" t="s">
        <x:v>13</x:v>
      </x:c>
      <x:c r="H303" s="3" t="s">
        <x:v>385</x:v>
      </x:c>
    </x:row>
    <x:row r="304" ht="18" customHeight="1">
      <x:c r="F304" s="1"/>
    </x:row>
    <x:row r="305" ht="18" customHeight="1">
      <x:c r="A305" s="13" t="s">
        <x:v>386</x:v>
      </x:c>
      <x:c r="B305" s="13"/>
      <x:c r="C305" s="13"/>
      <x:c r="D305" s="13"/>
      <x:c r="E305" s="13"/>
      <x:c r="F305" s="17"/>
      <x:c r="G305" s="13"/>
      <x:c r="H305" s="13"/>
    </x:row>
    <x:row r="306" ht="15" customHeight="1">
      <x:c r="A306" s="2" t="s">
        <x:v>1</x:v>
      </x:c>
      <x:c r="B306" s="14" t="s">
        <x:v>2</x:v>
      </x:c>
      <x:c r="C306" s="14"/>
      <x:c r="D306" s="14"/>
      <x:c r="E306" s="14"/>
      <x:c r="F306" s="18"/>
      <x:c r="G306" s="14"/>
      <x:c r="H306" s="14"/>
    </x:row>
    <x:row r="307" ht="15" customHeight="1">
      <x:c r="A307" s="2" t="s">
        <x:v>3</x:v>
      </x:c>
      <x:c r="B307" s="14" t="s">
        <x:v>4</x:v>
      </x:c>
      <x:c r="C307" s="14"/>
      <x:c r="D307" s="14"/>
      <x:c r="E307" s="14"/>
      <x:c r="F307" s="18"/>
      <x:c r="G307" s="14"/>
      <x:c r="H307" s="14"/>
    </x:row>
    <x:row r="308" ht="25.5" customHeight="1">
      <x:c r="A308" s="2" t="s">
        <x:v>5</x:v>
      </x:c>
      <x:c r="B308" s="14" t="s">
        <x:v>387</x:v>
      </x:c>
      <x:c r="C308" s="14"/>
      <x:c r="D308" s="14"/>
      <x:c r="E308" s="14"/>
      <x:c r="F308" s="18"/>
      <x:c r="G308" s="14"/>
      <x:c r="H308" s="14"/>
    </x:row>
    <x:row r="309" ht="70.5" customHeight="1">
      <x:c r="A309" s="2" t="s">
        <x:v>7</x:v>
      </x:c>
      <x:c r="B309" s="14" t="s">
        <x:v>8</x:v>
      </x:c>
      <x:c r="C309" s="14"/>
      <x:c r="D309" s="14"/>
      <x:c r="E309" s="14"/>
      <x:c r="F309" s="18"/>
      <x:c r="G309" s="14"/>
      <x:c r="H309" s="14"/>
    </x:row>
    <x:row r="310" ht="63" customHeight="1">
      <x:c r="A310" s="2" t="s">
        <x:v>9</x:v>
      </x:c>
      <x:c r="B310" s="14" t="s">
        <x:v>388</x:v>
      </x:c>
      <x:c r="C310" s="14"/>
      <x:c r="D310" s="14"/>
      <x:c r="E310" s="14"/>
      <x:c r="F310" s="18"/>
      <x:c r="G310" s="14"/>
      <x:c r="H310" s="14"/>
    </x:row>
    <x:row r="311" ht="28.5" customHeight="1">
      <x:c r="A311" s="2" t="s">
        <x:v>11</x:v>
      </x:c>
      <x:c r="B311" s="14" t="s">
        <x:v>389</x:v>
      </x:c>
      <x:c r="C311" s="14"/>
      <x:c r="D311" s="14"/>
      <x:c r="E311" s="14"/>
      <x:c r="F311" s="18"/>
      <x:c r="G311" s="14"/>
      <x:c r="H311" s="14"/>
    </x:row>
    <x:row r="312" ht="15" customHeight="1">
      <x:c r="A312" s="2" t="s">
        <x:v>13</x:v>
      </x:c>
      <x:c r="B312" s="15" t="n">
        <x:f>COUNTIF(G320:G322,"Pass")</x:f>
        <x:v>3</x:v>
      </x:c>
      <x:c r="C312" s="15"/>
      <x:c r="D312" s="15"/>
      <x:c r="E312" s="15"/>
      <x:c r="F312" s="15"/>
      <x:c r="G312" s="15"/>
      <x:c r="H312" s="15"/>
    </x:row>
    <x:row r="313" ht="15" customHeight="1">
      <x:c r="A313" s="2" t="s">
        <x:v>14</x:v>
      </x:c>
      <x:c r="B313" s="15" t="n">
        <x:f>COUNTIF(G320:G322,"Fail")</x:f>
        <x:v>0</x:v>
      </x:c>
      <x:c r="C313" s="15"/>
      <x:c r="D313" s="15"/>
      <x:c r="E313" s="15"/>
      <x:c r="F313" s="15"/>
      <x:c r="G313" s="15"/>
      <x:c r="H313" s="15"/>
    </x:row>
    <x:row r="314" ht="15" customHeight="1">
      <x:c r="A314" s="2" t="s">
        <x:v>15</x:v>
      </x:c>
      <x:c r="B314" s="15" t="n">
        <x:f>COUNTIF(G320:G322,"Pending")</x:f>
        <x:v>0</x:v>
      </x:c>
      <x:c r="C314" s="15"/>
      <x:c r="D314" s="15"/>
      <x:c r="E314" s="15"/>
      <x:c r="F314" s="15"/>
      <x:c r="G314" s="15"/>
      <x:c r="H314" s="15"/>
    </x:row>
    <x:row r="315" ht="30" customHeight="1">
      <x:c r="A315" s="11" t="s">
        <x:v>16</x:v>
      </x:c>
      <x:c r="B315" s="16" t="n">
        <x:f>COUNTA(A320:A322)</x:f>
        <x:v>3</x:v>
      </x:c>
      <x:c r="C315" s="16"/>
      <x:c r="D315" s="16"/>
      <x:c r="E315" s="16"/>
      <x:c r="F315" s="16"/>
      <x:c r="G315" s="16"/>
      <x:c r="H315" s="16"/>
    </x:row>
    <x:row r="316" ht="7.5" customHeight="1">
      <x:c r="A316" s="3"/>
      <x:c r="B316" s="3"/>
      <x:c r="C316" s="3"/>
      <x:c r="D316" s="3"/>
      <x:c r="E316" s="3"/>
      <x:c r="F316" s="4"/>
      <x:c r="G316" s="3"/>
      <x:c r="H316" s="3"/>
    </x:row>
    <x:row r="317" ht="7.5" customHeight="1">
      <x:c r="A317" s="3"/>
      <x:c r="B317" s="3"/>
      <x:c r="C317" s="3"/>
      <x:c r="D317" s="3"/>
      <x:c r="E317" s="3"/>
      <x:c r="F317" s="4"/>
      <x:c r="G317" s="3"/>
      <x:c r="H317" s="3"/>
    </x:row>
    <x:row r="318" ht="24" customHeight="1">
      <x:c r="A318" s="6" t="s">
        <x:v>17</x:v>
      </x:c>
      <x:c r="B318" s="6" t="s">
        <x:v>18</x:v>
      </x:c>
      <x:c r="C318" s="6" t="s">
        <x:v>19</x:v>
      </x:c>
      <x:c r="D318" s="6" t="s">
        <x:v>20</x:v>
      </x:c>
      <x:c r="E318" s="6" t="s">
        <x:v>21</x:v>
      </x:c>
      <x:c r="F318" s="8" t="s">
        <x:v>22</x:v>
      </x:c>
      <x:c r="G318" s="6" t="s">
        <x:v>23</x:v>
      </x:c>
      <x:c r="H318" s="6" t="s">
        <x:v>24</x:v>
      </x:c>
    </x:row>
    <x:row r="319" ht="21" customHeight="1">
      <x:c r="A319" s="13" t="s">
        <x:v>390</x:v>
      </x:c>
      <x:c r="B319" s="13"/>
      <x:c r="C319" s="13"/>
      <x:c r="D319" s="13"/>
      <x:c r="E319" s="13"/>
      <x:c r="F319" s="17"/>
      <x:c r="G319" s="13"/>
      <x:c r="H319" s="13"/>
    </x:row>
    <x:row r="320" ht="64.5" customHeight="1">
      <x:c r="A320" s="3" t="s">
        <x:v>391</x:v>
      </x:c>
      <x:c r="B320" s="3" t="s">
        <x:v>392</x:v>
      </x:c>
      <x:c r="C320" s="3" t="s">
        <x:v>393</x:v>
      </x:c>
      <x:c r="D320" s="3" t="s">
        <x:v>394</x:v>
      </x:c>
      <x:c r="E320" s="3" t="s">
        <x:v>395</x:v>
      </x:c>
      <x:c r="F320" s="7">
        <x:v>46163</x:v>
      </x:c>
      <x:c r="G320" s="5" t="s">
        <x:v>13</x:v>
      </x:c>
      <x:c r="H320" s="3" t="s">
        <x:v>396</x:v>
      </x:c>
    </x:row>
    <x:row r="321" ht="64.5" customHeight="1">
      <x:c r="A321" s="3" t="s">
        <x:v>397</x:v>
      </x:c>
      <x:c r="B321" s="3" t="s">
        <x:v>398</x:v>
      </x:c>
      <x:c r="C321" s="3" t="s">
        <x:v>399</x:v>
      </x:c>
      <x:c r="D321" s="3" t="s">
        <x:v>400</x:v>
      </x:c>
      <x:c r="E321" s="3" t="s">
        <x:v>401</x:v>
      </x:c>
      <x:c r="F321" s="7">
        <x:v>46163</x:v>
      </x:c>
      <x:c r="G321" s="5" t="s">
        <x:v>13</x:v>
      </x:c>
      <x:c r="H321" s="3" t="s">
        <x:v>402</x:v>
      </x:c>
    </x:row>
    <x:row r="322" ht="64.5" customHeight="1">
      <x:c r="A322" s="3" t="s">
        <x:v>403</x:v>
      </x:c>
      <x:c r="B322" s="3" t="s">
        <x:v>404</x:v>
      </x:c>
      <x:c r="C322" s="3" t="s">
        <x:v>405</x:v>
      </x:c>
      <x:c r="D322" s="3" t="s">
        <x:v>406</x:v>
      </x:c>
      <x:c r="E322" s="3" t="s">
        <x:v>407</x:v>
      </x:c>
      <x:c r="F322" s="7">
        <x:v>46163</x:v>
      </x:c>
      <x:c r="G322" s="5" t="s">
        <x:v>13</x:v>
      </x:c>
      <x:c r="H322" s="3" t="s">
        <x:v>408</x:v>
      </x:c>
    </x:row>
    <x:row r="323" ht="18" customHeight="1">
      <x:c r="F323" s="1"/>
    </x:row>
    <x:row r="324" ht="18" customHeight="1">
      <x:c r="A324" s="13" t="str">
        <x:v>TC-36 - As a user, I want to preview my uploaded file before encryption so that I can confirm it is the correct file.</x:v>
      </x:c>
      <x:c r="B324" s="13"/>
      <x:c r="C324" s="13"/>
      <x:c r="D324" s="13"/>
      <x:c r="E324" s="13"/>
      <x:c r="F324" s="17"/>
      <x:c r="G324" s="13"/>
      <x:c r="H324" s="13"/>
    </x:row>
    <x:row r="325" ht="15" customHeight="1">
      <x:c r="A325" s="2" t="s">
        <x:v>1</x:v>
      </x:c>
      <x:c r="B325" s="14" t="s">
        <x:v>2</x:v>
      </x:c>
      <x:c r="C325" s="14"/>
      <x:c r="D325" s="14"/>
      <x:c r="E325" s="14"/>
      <x:c r="F325" s="18"/>
      <x:c r="G325" s="14"/>
      <x:c r="H325" s="14"/>
    </x:row>
    <x:row r="326" ht="15" customHeight="1">
      <x:c r="A326" s="2" t="s">
        <x:v>3</x:v>
      </x:c>
      <x:c r="B326" s="14" t="s">
        <x:v>4</x:v>
      </x:c>
      <x:c r="C326" s="14"/>
      <x:c r="D326" s="14"/>
      <x:c r="E326" s="14"/>
      <x:c r="F326" s="18"/>
      <x:c r="G326" s="14"/>
      <x:c r="H326" s="14"/>
    </x:row>
    <x:row r="327" ht="25.5" customHeight="1">
      <x:c r="A327" s="2" t="s">
        <x:v>5</x:v>
      </x:c>
      <x:c r="B327" s="14" t="str">
        <x:v>36. As a user, I want to preview my uploaded file before encryption so that I can confirm it is the correct file.</x:v>
      </x:c>
      <x:c r="C327" s="14"/>
      <x:c r="D327" s="14"/>
      <x:c r="E327" s="14"/>
      <x:c r="F327" s="18"/>
      <x:c r="G327" s="14"/>
      <x:c r="H327" s="14"/>
    </x:row>
    <x:row r="328" ht="70.5" customHeight="1">
      <x:c r="A328" s="2" t="s">
        <x:v>7</x:v>
      </x:c>
      <x:c r="B328" s="14" t="s">
        <x:v>8</x:v>
      </x:c>
      <x:c r="C328" s="14"/>
      <x:c r="D328" s="14"/>
      <x:c r="E328" s="14"/>
      <x:c r="F328" s="18"/>
      <x:c r="G328" s="14"/>
      <x:c r="H328" s="14"/>
    </x:row>
    <x:row r="329" ht="63" customHeight="1">
      <x:c r="A329" s="2" t="s">
        <x:v>9</x:v>
      </x:c>
      <x:c r="B329" s="14" t="s">
        <x:v>409</x:v>
      </x:c>
      <x:c r="C329" s="14"/>
      <x:c r="D329" s="14"/>
      <x:c r="E329" s="14"/>
      <x:c r="F329" s="18"/>
      <x:c r="G329" s="14"/>
      <x:c r="H329" s="14"/>
    </x:row>
    <x:row r="330" ht="28.5" customHeight="1">
      <x:c r="A330" s="2" t="s">
        <x:v>11</x:v>
      </x:c>
      <x:c r="B330" s="14" t="s">
        <x:v>410</x:v>
      </x:c>
      <x:c r="C330" s="14"/>
      <x:c r="D330" s="14"/>
      <x:c r="E330" s="14"/>
      <x:c r="F330" s="18"/>
      <x:c r="G330" s="14"/>
      <x:c r="H330" s="14"/>
    </x:row>
    <x:row r="331" ht="15" customHeight="1">
      <x:c r="A331" s="2" t="s">
        <x:v>13</x:v>
      </x:c>
      <x:c r="B331" s="15" t="n">
        <x:f>COUNTIF(G339:G341,"Pass")</x:f>
        <x:v>3</x:v>
      </x:c>
      <x:c r="C331" s="15"/>
      <x:c r="D331" s="15"/>
      <x:c r="E331" s="15"/>
      <x:c r="F331" s="15"/>
      <x:c r="G331" s="15"/>
      <x:c r="H331" s="15"/>
    </x:row>
    <x:row r="332" ht="15" customHeight="1">
      <x:c r="A332" s="2" t="s">
        <x:v>14</x:v>
      </x:c>
      <x:c r="B332" s="15" t="n">
        <x:f>COUNTIF(G339:G341,"Fail")</x:f>
        <x:v>0</x:v>
      </x:c>
      <x:c r="C332" s="15"/>
      <x:c r="D332" s="15"/>
      <x:c r="E332" s="15"/>
      <x:c r="F332" s="15"/>
      <x:c r="G332" s="15"/>
      <x:c r="H332" s="15"/>
    </x:row>
    <x:row r="333" ht="15" customHeight="1">
      <x:c r="A333" s="2" t="s">
        <x:v>15</x:v>
      </x:c>
      <x:c r="B333" s="15" t="n">
        <x:f>COUNTIF(G339:G341,"Pending")</x:f>
        <x:v>0</x:v>
      </x:c>
      <x:c r="C333" s="15"/>
      <x:c r="D333" s="15"/>
      <x:c r="E333" s="15"/>
      <x:c r="F333" s="15"/>
      <x:c r="G333" s="15"/>
      <x:c r="H333" s="15"/>
    </x:row>
    <x:row r="334" ht="30" customHeight="1">
      <x:c r="A334" s="11" t="s">
        <x:v>16</x:v>
      </x:c>
      <x:c r="B334" s="16" t="n">
        <x:f>COUNTA(A339:A341)</x:f>
        <x:v>3</x:v>
      </x:c>
      <x:c r="C334" s="16"/>
      <x:c r="D334" s="16"/>
      <x:c r="E334" s="16"/>
      <x:c r="F334" s="16"/>
      <x:c r="G334" s="16"/>
      <x:c r="H334" s="16"/>
    </x:row>
    <x:row r="335" ht="7.5" customHeight="1">
      <x:c r="A335" s="3"/>
      <x:c r="B335" s="3"/>
      <x:c r="C335" s="3"/>
      <x:c r="D335" s="3"/>
      <x:c r="E335" s="3"/>
      <x:c r="F335" s="4"/>
      <x:c r="G335" s="3"/>
      <x:c r="H335" s="3"/>
    </x:row>
    <x:row r="336" ht="7.5" customHeight="1">
      <x:c r="A336" s="3"/>
      <x:c r="B336" s="3"/>
      <x:c r="C336" s="3"/>
      <x:c r="D336" s="3"/>
      <x:c r="E336" s="3"/>
      <x:c r="F336" s="4"/>
      <x:c r="G336" s="3"/>
      <x:c r="H336" s="3"/>
    </x:row>
    <x:row r="337" ht="24" customHeight="1">
      <x:c r="A337" s="6" t="s">
        <x:v>17</x:v>
      </x:c>
      <x:c r="B337" s="6" t="s">
        <x:v>18</x:v>
      </x:c>
      <x:c r="C337" s="6" t="s">
        <x:v>19</x:v>
      </x:c>
      <x:c r="D337" s="6" t="s">
        <x:v>20</x:v>
      </x:c>
      <x:c r="E337" s="6" t="s">
        <x:v>21</x:v>
      </x:c>
      <x:c r="F337" s="8" t="s">
        <x:v>22</x:v>
      </x:c>
      <x:c r="G337" s="6" t="s">
        <x:v>23</x:v>
      </x:c>
      <x:c r="H337" s="6" t="s">
        <x:v>24</x:v>
      </x:c>
    </x:row>
    <x:row r="338" ht="21" customHeight="1">
      <x:c r="A338" s="13" t="str">
        <x:v>Sprint 1 US36 - As a user, I want to preview my uploaded file before encryption so that I can confirm it is the correct file.</x:v>
      </x:c>
      <x:c r="B338" s="13"/>
      <x:c r="C338" s="13"/>
      <x:c r="D338" s="13"/>
      <x:c r="E338" s="13"/>
      <x:c r="F338" s="17"/>
      <x:c r="G338" s="13"/>
      <x:c r="H338" s="13"/>
    </x:row>
    <x:row r="339" ht="64.5" customHeight="1">
      <x:c r="A339" s="3" t="str">
        <x:v>TC-36-1</x:v>
      </x:c>
      <x:c r="B339" s="3" t="s">
        <x:v>411</x:v>
      </x:c>
      <x:c r="C339" s="3" t="s">
        <x:v>412</x:v>
      </x:c>
      <x:c r="D339" s="3" t="s">
        <x:v>413</x:v>
      </x:c>
      <x:c r="E339" s="3" t="s">
        <x:v>414</x:v>
      </x:c>
      <x:c r="F339" s="7">
        <x:v>46164</x:v>
      </x:c>
      <x:c r="G339" s="5" t="s">
        <x:v>13</x:v>
      </x:c>
      <x:c r="H339" s="3" t="s">
        <x:v>415</x:v>
      </x:c>
    </x:row>
    <x:row r="340" ht="64.5" customHeight="1">
      <x:c r="A340" s="3" t="str">
        <x:v>TC-36-2</x:v>
      </x:c>
      <x:c r="B340" s="3" t="s">
        <x:v>416</x:v>
      </x:c>
      <x:c r="C340" s="3" t="s">
        <x:v>417</x:v>
      </x:c>
      <x:c r="D340" s="3" t="s">
        <x:v>418</x:v>
      </x:c>
      <x:c r="E340" s="3" t="s">
        <x:v>419</x:v>
      </x:c>
      <x:c r="F340" s="7">
        <x:v>46164</x:v>
      </x:c>
      <x:c r="G340" s="5" t="s">
        <x:v>13</x:v>
      </x:c>
      <x:c r="H340" s="3" t="s">
        <x:v>420</x:v>
      </x:c>
    </x:row>
    <x:row r="341" ht="64.5" customHeight="1">
      <x:c r="A341" s="3" t="str">
        <x:v>TC-36-3</x:v>
      </x:c>
      <x:c r="B341" s="3" t="s">
        <x:v>421</x:v>
      </x:c>
      <x:c r="C341" s="3" t="s">
        <x:v>422</x:v>
      </x:c>
      <x:c r="D341" s="3" t="s">
        <x:v>423</x:v>
      </x:c>
      <x:c r="E341" s="3" t="s">
        <x:v>424</x:v>
      </x:c>
      <x:c r="F341" s="7">
        <x:v>46164</x:v>
      </x:c>
      <x:c r="G341" s="5" t="s">
        <x:v>13</x:v>
      </x:c>
      <x:c r="H341" s="3" t="s">
        <x:v>425</x:v>
      </x:c>
    </x:row>
    <x:row r="342" ht="18" customHeight="1"/>
    <x:row r="343" ht="18" customHeight="1">
      <x:c r="A343" s="13" t="str">
        <x:v>TC-37 - As a user, I want to replace my uploaded file before encryption so that I can upload the correct version if I selected the wrong file.</x:v>
      </x:c>
      <x:c r="B343" s="13"/>
      <x:c r="C343" s="13"/>
      <x:c r="D343" s="13"/>
      <x:c r="E343" s="13"/>
      <x:c r="F343" s="13"/>
      <x:c r="G343" s="13"/>
      <x:c r="H343" s="13"/>
    </x:row>
    <x:row r="344" ht="15" customHeight="1">
      <x:c r="A344" s="9" t="s">
        <x:v>1</x:v>
      </x:c>
      <x:c r="B344" s="14" t="s">
        <x:v>2</x:v>
      </x:c>
      <x:c r="C344" s="14"/>
      <x:c r="D344" s="14"/>
      <x:c r="E344" s="14"/>
      <x:c r="F344" s="14"/>
      <x:c r="G344" s="14"/>
      <x:c r="H344" s="14"/>
    </x:row>
    <x:row r="345" ht="15" customHeight="1">
      <x:c r="A345" s="9" t="s">
        <x:v>3</x:v>
      </x:c>
      <x:c r="B345" s="14" t="s">
        <x:v>4</x:v>
      </x:c>
      <x:c r="C345" s="14"/>
      <x:c r="D345" s="14"/>
      <x:c r="E345" s="14"/>
      <x:c r="F345" s="14"/>
      <x:c r="G345" s="14"/>
      <x:c r="H345" s="14"/>
    </x:row>
    <x:row r="346" ht="25.5" customHeight="1">
      <x:c r="A346" s="9" t="s">
        <x:v>5</x:v>
      </x:c>
      <x:c r="B346" s="14" t="str">
        <x:v>37. As a user, I want to replace my uploaded file before encryption so that I can upload the correct version if I selected the wrong file.</x:v>
      </x:c>
      <x:c r="C346" s="14"/>
      <x:c r="D346" s="14"/>
      <x:c r="E346" s="14"/>
      <x:c r="F346" s="14"/>
      <x:c r="G346" s="14"/>
      <x:c r="H346" s="14"/>
    </x:row>
    <x:row r="347" ht="70.5" customHeight="1">
      <x:c r="A347" s="9" t="s">
        <x:v>7</x:v>
      </x:c>
      <x:c r="B347" s="14" t="s">
        <x:v>8</x:v>
      </x:c>
      <x:c r="C347" s="14"/>
      <x:c r="D347" s="14"/>
      <x:c r="E347" s="14"/>
      <x:c r="F347" s="14"/>
      <x:c r="G347" s="14"/>
      <x:c r="H347" s="14"/>
    </x:row>
    <x:row r="348" ht="63" customHeight="1">
      <x:c r="A348" s="9" t="s">
        <x:v>9</x:v>
      </x:c>
      <x:c r="B348" s="14" t="s">
        <x:v>426</x:v>
      </x:c>
      <x:c r="C348" s="14"/>
      <x:c r="D348" s="14"/>
      <x:c r="E348" s="14"/>
      <x:c r="F348" s="14"/>
      <x:c r="G348" s="14"/>
      <x:c r="H348" s="14"/>
    </x:row>
    <x:row r="349" ht="28.5" customHeight="1">
      <x:c r="A349" s="9" t="s">
        <x:v>11</x:v>
      </x:c>
      <x:c r="B349" s="14" t="s">
        <x:v>427</x:v>
      </x:c>
      <x:c r="C349" s="14"/>
      <x:c r="D349" s="14"/>
      <x:c r="E349" s="14"/>
      <x:c r="F349" s="14"/>
      <x:c r="G349" s="14"/>
      <x:c r="H349" s="14"/>
    </x:row>
    <x:row r="350" ht="15" customHeight="1">
      <x:c r="A350" s="9" t="s">
        <x:v>13</x:v>
      </x:c>
      <x:c r="B350" s="15" t="n">
        <x:f>COUNTIF(G358:G360,"Pass")</x:f>
        <x:v>3</x:v>
      </x:c>
      <x:c r="C350" s="15"/>
      <x:c r="D350" s="15"/>
      <x:c r="E350" s="15"/>
      <x:c r="F350" s="15"/>
      <x:c r="G350" s="15"/>
      <x:c r="H350" s="15"/>
    </x:row>
    <x:row r="351" ht="15" customHeight="1">
      <x:c r="A351" s="9" t="s">
        <x:v>14</x:v>
      </x:c>
      <x:c r="B351" s="15" t="n">
        <x:f>COUNTIF(G358:G360,"Fail")</x:f>
        <x:v>0</x:v>
      </x:c>
      <x:c r="C351" s="15"/>
      <x:c r="D351" s="15"/>
      <x:c r="E351" s="15"/>
      <x:c r="F351" s="15"/>
      <x:c r="G351" s="15"/>
      <x:c r="H351" s="15"/>
    </x:row>
    <x:row r="352" ht="15" customHeight="1">
      <x:c r="A352" s="9" t="s">
        <x:v>15</x:v>
      </x:c>
      <x:c r="B352" s="15" t="n">
        <x:f>COUNTIF(G358:G360,"Pending")</x:f>
        <x:v>0</x:v>
      </x:c>
      <x:c r="C352" s="15"/>
      <x:c r="D352" s="15"/>
      <x:c r="E352" s="15"/>
      <x:c r="F352" s="15"/>
      <x:c r="G352" s="15"/>
      <x:c r="H352" s="15"/>
    </x:row>
    <x:row r="353" ht="30" customHeight="1">
      <x:c r="A353" s="12" t="s">
        <x:v>16</x:v>
      </x:c>
      <x:c r="B353" s="16" t="n">
        <x:f>COUNTA(A358:A360)</x:f>
        <x:v>3</x:v>
      </x:c>
      <x:c r="C353" s="16"/>
      <x:c r="D353" s="16"/>
      <x:c r="E353" s="16"/>
      <x:c r="F353" s="16"/>
      <x:c r="G353" s="16"/>
      <x:c r="H353" s="16"/>
    </x:row>
    <x:row r="354" ht="7.5" customHeight="1">
      <x:c r="A354" s="3"/>
      <x:c r="B354" s="3"/>
      <x:c r="C354" s="3"/>
      <x:c r="D354" s="3"/>
      <x:c r="E354" s="3"/>
      <x:c r="F354" s="3"/>
      <x:c r="G354" s="3"/>
      <x:c r="H354" s="3"/>
    </x:row>
    <x:row r="355" ht="7.5" customHeight="1">
      <x:c r="A355" s="3"/>
      <x:c r="B355" s="3"/>
      <x:c r="C355" s="3"/>
      <x:c r="D355" s="3"/>
      <x:c r="E355" s="3"/>
      <x:c r="F355" s="3"/>
      <x:c r="G355" s="3"/>
      <x:c r="H355" s="3"/>
    </x:row>
    <x:row r="356" ht="24" customHeight="1">
      <x:c r="A356" s="6" t="s">
        <x:v>17</x:v>
      </x:c>
      <x:c r="B356" s="6" t="s">
        <x:v>18</x:v>
      </x:c>
      <x:c r="C356" s="6" t="s">
        <x:v>19</x:v>
      </x:c>
      <x:c r="D356" s="6" t="s">
        <x:v>20</x:v>
      </x:c>
      <x:c r="E356" s="6" t="s">
        <x:v>21</x:v>
      </x:c>
      <x:c r="F356" s="6" t="s">
        <x:v>22</x:v>
      </x:c>
      <x:c r="G356" s="6" t="s">
        <x:v>23</x:v>
      </x:c>
      <x:c r="H356" s="6" t="s">
        <x:v>24</x:v>
      </x:c>
    </x:row>
    <x:row r="357" ht="21" customHeight="1">
      <x:c r="A357" s="13" t="str">
        <x:v>Sprint 1 US37 - As a user, I want to replace my uploaded file before encryption so that I can upload the correct version if I selected the wrong file.</x:v>
      </x:c>
      <x:c r="B357" s="13"/>
      <x:c r="C357" s="13"/>
      <x:c r="D357" s="13"/>
      <x:c r="E357" s="13"/>
      <x:c r="F357" s="13"/>
      <x:c r="G357" s="13"/>
      <x:c r="H357" s="13"/>
    </x:row>
    <x:row r="358" ht="64.5" customHeight="1">
      <x:c r="A358" s="3" t="str">
        <x:v>TC-37-1</x:v>
      </x:c>
      <x:c r="B358" s="3" t="s">
        <x:v>428</x:v>
      </x:c>
      <x:c r="C358" s="3" t="s">
        <x:v>429</x:v>
      </x:c>
      <x:c r="D358" s="3" t="s">
        <x:v>430</x:v>
      </x:c>
      <x:c r="E358" s="3" t="s">
        <x:v>431</x:v>
      </x:c>
      <x:c r="F358" s="7">
        <x:v>46165</x:v>
      </x:c>
      <x:c r="G358" s="10" t="s">
        <x:v>13</x:v>
      </x:c>
      <x:c r="H358" s="3" t="s">
        <x:v>432</x:v>
      </x:c>
    </x:row>
    <x:row r="359" ht="64.5" customHeight="1">
      <x:c r="A359" s="3" t="str">
        <x:v>TC-37-2</x:v>
      </x:c>
      <x:c r="B359" s="3" t="s">
        <x:v>433</x:v>
      </x:c>
      <x:c r="C359" s="3" t="s">
        <x:v>434</x:v>
      </x:c>
      <x:c r="D359" s="3" t="s">
        <x:v>435</x:v>
      </x:c>
      <x:c r="E359" s="3" t="s">
        <x:v>436</x:v>
      </x:c>
      <x:c r="F359" s="7">
        <x:v>46165</x:v>
      </x:c>
      <x:c r="G359" s="10" t="s">
        <x:v>13</x:v>
      </x:c>
      <x:c r="H359" s="3" t="s">
        <x:v>437</x:v>
      </x:c>
    </x:row>
    <x:row r="360" ht="64.5" customHeight="1">
      <x:c r="A360" s="3" t="str">
        <x:v>TC-37-3</x:v>
      </x:c>
      <x:c r="B360" s="3" t="s">
        <x:v>438</x:v>
      </x:c>
      <x:c r="C360" s="3" t="s">
        <x:v>439</x:v>
      </x:c>
      <x:c r="D360" s="3" t="s">
        <x:v>440</x:v>
      </x:c>
      <x:c r="E360" s="3" t="s">
        <x:v>441</x:v>
      </x:c>
      <x:c r="F360" s="7">
        <x:v>46165</x:v>
      </x:c>
      <x:c r="G360" s="10" t="s">
        <x:v>13</x:v>
      </x:c>
      <x:c r="H360" s="3" t="s">
        <x:v>442</x:v>
      </x:c>
    </x:row>
    <x:row r="361" ht="18" customHeight="1"/>
    <x:row r="362" ht="18" customHeight="1">
      <x:c r="A362" s="13" t="str">
        <x:v>TC-38 - As a user, I want to delete my uploaded file before encryption so that I can remove it if I no longer wish to process it.</x:v>
      </x:c>
      <x:c r="B362" s="13"/>
      <x:c r="C362" s="13"/>
      <x:c r="D362" s="13"/>
      <x:c r="E362" s="13"/>
      <x:c r="F362" s="13"/>
      <x:c r="G362" s="13"/>
      <x:c r="H362" s="13"/>
    </x:row>
    <x:row r="363" ht="15" customHeight="1">
      <x:c r="A363" s="9" t="s">
        <x:v>1</x:v>
      </x:c>
      <x:c r="B363" s="14" t="s">
        <x:v>2</x:v>
      </x:c>
      <x:c r="C363" s="14"/>
      <x:c r="D363" s="14"/>
      <x:c r="E363" s="14"/>
      <x:c r="F363" s="14"/>
      <x:c r="G363" s="14"/>
      <x:c r="H363" s="14"/>
    </x:row>
    <x:row r="364" ht="15" customHeight="1">
      <x:c r="A364" s="9" t="s">
        <x:v>3</x:v>
      </x:c>
      <x:c r="B364" s="14" t="s">
        <x:v>4</x:v>
      </x:c>
      <x:c r="C364" s="14"/>
      <x:c r="D364" s="14"/>
      <x:c r="E364" s="14"/>
      <x:c r="F364" s="14"/>
      <x:c r="G364" s="14"/>
      <x:c r="H364" s="14"/>
    </x:row>
    <x:row r="365" ht="25.5" customHeight="1">
      <x:c r="A365" s="9" t="s">
        <x:v>5</x:v>
      </x:c>
      <x:c r="B365" s="14" t="str">
        <x:v>38. As a user, I want to delete my uploaded file before encryption so that I can remove it if I no longer wish to process it.</x:v>
      </x:c>
      <x:c r="C365" s="14"/>
      <x:c r="D365" s="14"/>
      <x:c r="E365" s="14"/>
      <x:c r="F365" s="14"/>
      <x:c r="G365" s="14"/>
      <x:c r="H365" s="14"/>
    </x:row>
    <x:row r="366" ht="70.5" customHeight="1">
      <x:c r="A366" s="9" t="s">
        <x:v>7</x:v>
      </x:c>
      <x:c r="B366" s="14" t="s">
        <x:v>8</x:v>
      </x:c>
      <x:c r="C366" s="14"/>
      <x:c r="D366" s="14"/>
      <x:c r="E366" s="14"/>
      <x:c r="F366" s="14"/>
      <x:c r="G366" s="14"/>
      <x:c r="H366" s="14"/>
    </x:row>
    <x:row r="367" ht="63" customHeight="1">
      <x:c r="A367" s="9" t="s">
        <x:v>9</x:v>
      </x:c>
      <x:c r="B367" s="14" t="s">
        <x:v>443</x:v>
      </x:c>
      <x:c r="C367" s="14"/>
      <x:c r="D367" s="14"/>
      <x:c r="E367" s="14"/>
      <x:c r="F367" s="14"/>
      <x:c r="G367" s="14"/>
      <x:c r="H367" s="14"/>
    </x:row>
    <x:row r="368" ht="28.5" customHeight="1">
      <x:c r="A368" s="9" t="s">
        <x:v>11</x:v>
      </x:c>
      <x:c r="B368" s="14" t="s">
        <x:v>444</x:v>
      </x:c>
      <x:c r="C368" s="14"/>
      <x:c r="D368" s="14"/>
      <x:c r="E368" s="14"/>
      <x:c r="F368" s="14"/>
      <x:c r="G368" s="14"/>
      <x:c r="H368" s="14"/>
    </x:row>
    <x:row r="369" ht="15" customHeight="1">
      <x:c r="A369" s="9" t="s">
        <x:v>13</x:v>
      </x:c>
      <x:c r="B369" s="15" t="n">
        <x:f>COUNTIF(G377:G379,"Pass")</x:f>
        <x:v>3</x:v>
      </x:c>
      <x:c r="C369" s="15"/>
      <x:c r="D369" s="15"/>
      <x:c r="E369" s="15"/>
      <x:c r="F369" s="15"/>
      <x:c r="G369" s="15"/>
      <x:c r="H369" s="15"/>
    </x:row>
    <x:row r="370" ht="15" customHeight="1">
      <x:c r="A370" s="9" t="s">
        <x:v>14</x:v>
      </x:c>
      <x:c r="B370" s="15" t="n">
        <x:f>COUNTIF(G377:G379,"Fail")</x:f>
        <x:v>0</x:v>
      </x:c>
      <x:c r="C370" s="15"/>
      <x:c r="D370" s="15"/>
      <x:c r="E370" s="15"/>
      <x:c r="F370" s="15"/>
      <x:c r="G370" s="15"/>
      <x:c r="H370" s="15"/>
    </x:row>
    <x:row r="371" ht="15" customHeight="1">
      <x:c r="A371" s="9" t="s">
        <x:v>15</x:v>
      </x:c>
      <x:c r="B371" s="15" t="n">
        <x:f>COUNTIF(G377:G379,"Pending")</x:f>
        <x:v>0</x:v>
      </x:c>
      <x:c r="C371" s="15"/>
      <x:c r="D371" s="15"/>
      <x:c r="E371" s="15"/>
      <x:c r="F371" s="15"/>
      <x:c r="G371" s="15"/>
      <x:c r="H371" s="15"/>
    </x:row>
    <x:row r="372" ht="30" customHeight="1">
      <x:c r="A372" s="12" t="s">
        <x:v>16</x:v>
      </x:c>
      <x:c r="B372" s="16" t="n">
        <x:f>COUNTA(A377:A379)</x:f>
        <x:v>3</x:v>
      </x:c>
      <x:c r="C372" s="16"/>
      <x:c r="D372" s="16"/>
      <x:c r="E372" s="16"/>
      <x:c r="F372" s="16"/>
      <x:c r="G372" s="16"/>
      <x:c r="H372" s="16"/>
    </x:row>
    <x:row r="373" ht="7.5" customHeight="1">
      <x:c r="A373" s="3"/>
      <x:c r="B373" s="3"/>
      <x:c r="C373" s="3"/>
      <x:c r="D373" s="3"/>
      <x:c r="E373" s="3"/>
      <x:c r="F373" s="3"/>
      <x:c r="G373" s="3"/>
      <x:c r="H373" s="3"/>
    </x:row>
    <x:row r="374" ht="7.5" customHeight="1">
      <x:c r="A374" s="3"/>
      <x:c r="B374" s="3"/>
      <x:c r="C374" s="3"/>
      <x:c r="D374" s="3"/>
      <x:c r="E374" s="3"/>
      <x:c r="F374" s="3"/>
      <x:c r="G374" s="3"/>
      <x:c r="H374" s="3"/>
    </x:row>
    <x:row r="375" ht="24" customHeight="1">
      <x:c r="A375" s="6" t="s">
        <x:v>17</x:v>
      </x:c>
      <x:c r="B375" s="6" t="s">
        <x:v>18</x:v>
      </x:c>
      <x:c r="C375" s="6" t="s">
        <x:v>19</x:v>
      </x:c>
      <x:c r="D375" s="6" t="s">
        <x:v>20</x:v>
      </x:c>
      <x:c r="E375" s="6" t="s">
        <x:v>21</x:v>
      </x:c>
      <x:c r="F375" s="6" t="s">
        <x:v>22</x:v>
      </x:c>
      <x:c r="G375" s="6" t="s">
        <x:v>23</x:v>
      </x:c>
      <x:c r="H375" s="6" t="s">
        <x:v>24</x:v>
      </x:c>
    </x:row>
    <x:row r="376" ht="21" customHeight="1">
      <x:c r="A376" s="13" t="str">
        <x:v>Sprint 1 US38 - As a user, I want to delete my uploaded file before encryption so that I can remove it if I no longer wish to process it.</x:v>
      </x:c>
      <x:c r="B376" s="13"/>
      <x:c r="C376" s="13"/>
      <x:c r="D376" s="13"/>
      <x:c r="E376" s="13"/>
      <x:c r="F376" s="13"/>
      <x:c r="G376" s="13"/>
      <x:c r="H376" s="13"/>
    </x:row>
    <x:row r="377" ht="64.5" customHeight="1">
      <x:c r="A377" s="3" t="str">
        <x:v>TC-38-1</x:v>
      </x:c>
      <x:c r="B377" s="3" t="s">
        <x:v>445</x:v>
      </x:c>
      <x:c r="C377" s="3" t="s">
        <x:v>446</x:v>
      </x:c>
      <x:c r="D377" s="3" t="s">
        <x:v>447</x:v>
      </x:c>
      <x:c r="E377" s="3" t="s">
        <x:v>448</x:v>
      </x:c>
      <x:c r="F377" s="7">
        <x:v>46166</x:v>
      </x:c>
      <x:c r="G377" s="10" t="s">
        <x:v>13</x:v>
      </x:c>
      <x:c r="H377" s="3" t="s">
        <x:v>449</x:v>
      </x:c>
    </x:row>
    <x:row r="378" ht="64.5" customHeight="1">
      <x:c r="A378" s="3" t="str">
        <x:v>TC-38-2</x:v>
      </x:c>
      <x:c r="B378" s="3" t="s">
        <x:v>450</x:v>
      </x:c>
      <x:c r="C378" s="3" t="s">
        <x:v>451</x:v>
      </x:c>
      <x:c r="D378" s="3" t="s">
        <x:v>452</x:v>
      </x:c>
      <x:c r="E378" s="3" t="s">
        <x:v>453</x:v>
      </x:c>
      <x:c r="F378" s="7">
        <x:v>46166</x:v>
      </x:c>
      <x:c r="G378" s="10" t="s">
        <x:v>13</x:v>
      </x:c>
      <x:c r="H378" s="3" t="s">
        <x:v>454</x:v>
      </x:c>
    </x:row>
    <x:row r="379" ht="64.5" customHeight="1">
      <x:c r="A379" s="3" t="str">
        <x:v>TC-38-3</x:v>
      </x:c>
      <x:c r="B379" s="3" t="s">
        <x:v>455</x:v>
      </x:c>
      <x:c r="C379" s="3" t="s">
        <x:v>456</x:v>
      </x:c>
      <x:c r="D379" s="3" t="s">
        <x:v>457</x:v>
      </x:c>
      <x:c r="E379" s="3" t="s">
        <x:v>458</x:v>
      </x:c>
      <x:c r="F379" s="7">
        <x:v>46166</x:v>
      </x:c>
      <x:c r="G379" s="10" t="s">
        <x:v>13</x:v>
      </x:c>
      <x:c r="H379" s="3" t="s">
        <x:v>459</x:v>
      </x:c>
    </x:row>
    <x:row r="380" ht="18" customHeight="1"/>
  </x:sheetData>
  <x:mergeCells>
    <x:mergeCell ref="B369:H369"/>
    <x:mergeCell ref="B370:H370"/>
    <x:mergeCell ref="B371:H371"/>
    <x:mergeCell ref="B372:H372"/>
    <x:mergeCell ref="A376:H376"/>
    <x:mergeCell ref="B364:H364"/>
    <x:mergeCell ref="B365:H365"/>
    <x:mergeCell ref="B366:H366"/>
    <x:mergeCell ref="B367:H367"/>
    <x:mergeCell ref="B368:H368"/>
    <x:mergeCell ref="B352:H352"/>
    <x:mergeCell ref="B353:H353"/>
    <x:mergeCell ref="A357:H357"/>
    <x:mergeCell ref="A362:H362"/>
    <x:mergeCell ref="B363:H363"/>
    <x:mergeCell ref="B347:H347"/>
    <x:mergeCell ref="B348:H348"/>
    <x:mergeCell ref="B349:H349"/>
    <x:mergeCell ref="B350:H350"/>
    <x:mergeCell ref="B351:H351"/>
    <x:mergeCell ref="A338:H338"/>
    <x:mergeCell ref="A343:H343"/>
    <x:mergeCell ref="B344:H344"/>
    <x:mergeCell ref="B345:H345"/>
    <x:mergeCell ref="B346:H346"/>
    <x:mergeCell ref="B330:H330"/>
    <x:mergeCell ref="B331:H331"/>
    <x:mergeCell ref="B332:H332"/>
    <x:mergeCell ref="B333:H333"/>
    <x:mergeCell ref="B334:H334"/>
    <x:mergeCell ref="B325:H325"/>
    <x:mergeCell ref="B326:H326"/>
    <x:mergeCell ref="B327:H327"/>
    <x:mergeCell ref="B328:H328"/>
    <x:mergeCell ref="B329:H329"/>
    <x:mergeCell ref="B313:H313"/>
    <x:mergeCell ref="B314:H314"/>
    <x:mergeCell ref="B315:H315"/>
    <x:mergeCell ref="A319:H319"/>
    <x:mergeCell ref="A324:H324"/>
    <x:mergeCell ref="B308:H308"/>
    <x:mergeCell ref="B309:H309"/>
    <x:mergeCell ref="B310:H310"/>
    <x:mergeCell ref="B311:H311"/>
    <x:mergeCell ref="B312:H312"/>
    <x:mergeCell ref="B296:H296"/>
    <x:mergeCell ref="A300:H300"/>
    <x:mergeCell ref="A305:H305"/>
    <x:mergeCell ref="B306:H306"/>
    <x:mergeCell ref="B307:H307"/>
    <x:mergeCell ref="B291:H291"/>
    <x:mergeCell ref="B292:H292"/>
    <x:mergeCell ref="B293:H293"/>
    <x:mergeCell ref="B294:H294"/>
    <x:mergeCell ref="B295:H295"/>
    <x:mergeCell ref="A286:H286"/>
    <x:mergeCell ref="B287:H287"/>
    <x:mergeCell ref="B288:H288"/>
    <x:mergeCell ref="B289:H289"/>
    <x:mergeCell ref="B290:H290"/>
    <x:mergeCell ref="B274:H274"/>
    <x:mergeCell ref="B275:H275"/>
    <x:mergeCell ref="B276:H276"/>
    <x:mergeCell ref="B277:H277"/>
    <x:mergeCell ref="A281:H281"/>
    <x:mergeCell ref="B269:H269"/>
    <x:mergeCell ref="B270:H270"/>
    <x:mergeCell ref="B271:H271"/>
    <x:mergeCell ref="B272:H272"/>
    <x:mergeCell ref="B273:H273"/>
    <x:mergeCell ref="B257:H257"/>
    <x:mergeCell ref="B258:H258"/>
    <x:mergeCell ref="A262:H262"/>
    <x:mergeCell ref="A267:H267"/>
    <x:mergeCell ref="B268:H268"/>
    <x:mergeCell ref="B252:H252"/>
    <x:mergeCell ref="B253:H253"/>
    <x:mergeCell ref="B254:H254"/>
    <x:mergeCell ref="B255:H255"/>
    <x:mergeCell ref="B256:H256"/>
    <x:mergeCell ref="A243:H243"/>
    <x:mergeCell ref="A248:H248"/>
    <x:mergeCell ref="B249:H249"/>
    <x:mergeCell ref="B250:H250"/>
    <x:mergeCell ref="B251:H251"/>
    <x:mergeCell ref="B235:H235"/>
    <x:mergeCell ref="B236:H236"/>
    <x:mergeCell ref="B237:H237"/>
    <x:mergeCell ref="B238:H238"/>
    <x:mergeCell ref="B239:H239"/>
    <x:mergeCell ref="B230:H230"/>
    <x:mergeCell ref="B231:H231"/>
    <x:mergeCell ref="B232:H232"/>
    <x:mergeCell ref="B233:H233"/>
    <x:mergeCell ref="B234:H234"/>
    <x:mergeCell ref="B218:H218"/>
    <x:mergeCell ref="B219:H219"/>
    <x:mergeCell ref="B220:H220"/>
    <x:mergeCell ref="A224:H224"/>
    <x:mergeCell ref="A229:H229"/>
    <x:mergeCell ref="B213:H213"/>
    <x:mergeCell ref="B214:H214"/>
    <x:mergeCell ref="B215:H215"/>
    <x:mergeCell ref="B216:H216"/>
    <x:mergeCell ref="B217:H217"/>
    <x:mergeCell ref="B201:H201"/>
    <x:mergeCell ref="A205:H205"/>
    <x:mergeCell ref="A210:H210"/>
    <x:mergeCell ref="B211:H211"/>
    <x:mergeCell ref="B212:H212"/>
    <x:mergeCell ref="B196:H196"/>
    <x:mergeCell ref="B197:H197"/>
    <x:mergeCell ref="B198:H198"/>
    <x:mergeCell ref="B199:H199"/>
    <x:mergeCell ref="B200:H200"/>
    <x:mergeCell ref="A191:H191"/>
    <x:mergeCell ref="B192:H192"/>
    <x:mergeCell ref="B193:H193"/>
    <x:mergeCell ref="B194:H194"/>
    <x:mergeCell ref="B195:H195"/>
    <x:mergeCell ref="B179:H179"/>
    <x:mergeCell ref="B180:H180"/>
    <x:mergeCell ref="B181:H181"/>
    <x:mergeCell ref="B182:H182"/>
    <x:mergeCell ref="A186:H186"/>
    <x:mergeCell ref="B174:H174"/>
    <x:mergeCell ref="B175:H175"/>
    <x:mergeCell ref="B176:H176"/>
    <x:mergeCell ref="B177:H177"/>
    <x:mergeCell ref="B178:H178"/>
    <x:mergeCell ref="B162:H162"/>
    <x:mergeCell ref="B163:H163"/>
    <x:mergeCell ref="A167:H167"/>
    <x:mergeCell ref="A172:H172"/>
    <x:mergeCell ref="B173:H173"/>
    <x:mergeCell ref="B157:H157"/>
    <x:mergeCell ref="B158:H158"/>
    <x:mergeCell ref="B159:H159"/>
    <x:mergeCell ref="B160:H160"/>
    <x:mergeCell ref="B161:H161"/>
    <x:mergeCell ref="A148:H148"/>
    <x:mergeCell ref="A153:H153"/>
    <x:mergeCell ref="B154:H154"/>
    <x:mergeCell ref="B155:H155"/>
    <x:mergeCell ref="B156:H156"/>
    <x:mergeCell ref="B140:H140"/>
    <x:mergeCell ref="B141:H141"/>
    <x:mergeCell ref="B142:H142"/>
    <x:mergeCell ref="B143:H143"/>
    <x:mergeCell ref="B144:H144"/>
    <x:mergeCell ref="B135:H135"/>
    <x:mergeCell ref="B136:H136"/>
    <x:mergeCell ref="B137:H137"/>
    <x:mergeCell ref="B138:H138"/>
    <x:mergeCell ref="B139:H139"/>
    <x:mergeCell ref="B123:H123"/>
    <x:mergeCell ref="B124:H124"/>
    <x:mergeCell ref="B125:H125"/>
    <x:mergeCell ref="A129:H129"/>
    <x:mergeCell ref="A134:H134"/>
    <x:mergeCell ref="B118:H118"/>
    <x:mergeCell ref="B119:H119"/>
    <x:mergeCell ref="B120:H120"/>
    <x:mergeCell ref="B121:H121"/>
    <x:mergeCell ref="B122:H122"/>
    <x:mergeCell ref="B106:H106"/>
    <x:mergeCell ref="A110:H110"/>
    <x:mergeCell ref="A115:H115"/>
    <x:mergeCell ref="B116:H116"/>
    <x:mergeCell ref="B117:H117"/>
    <x:mergeCell ref="B101:H101"/>
    <x:mergeCell ref="B102:H102"/>
    <x:mergeCell ref="B103:H103"/>
    <x:mergeCell ref="B104:H104"/>
    <x:mergeCell ref="B105:H105"/>
    <x:mergeCell ref="A96:H96"/>
    <x:mergeCell ref="B97:H97"/>
    <x:mergeCell ref="B98:H98"/>
    <x:mergeCell ref="B99:H99"/>
    <x:mergeCell ref="B100:H100"/>
    <x:mergeCell ref="B84:H84"/>
    <x:mergeCell ref="B85:H85"/>
    <x:mergeCell ref="B86:H86"/>
    <x:mergeCell ref="B87:H87"/>
    <x:mergeCell ref="A91:H91"/>
    <x:mergeCell ref="B79:H79"/>
    <x:mergeCell ref="B80:H80"/>
    <x:mergeCell ref="B81:H81"/>
    <x:mergeCell ref="B82:H82"/>
    <x:mergeCell ref="B83:H83"/>
    <x:mergeCell ref="B67:H67"/>
    <x:mergeCell ref="B68:H68"/>
    <x:mergeCell ref="A72:H72"/>
    <x:mergeCell ref="A77:H77"/>
    <x:mergeCell ref="B78:H78"/>
    <x:mergeCell ref="B62:H62"/>
    <x:mergeCell ref="B63:H63"/>
    <x:mergeCell ref="B64:H64"/>
    <x:mergeCell ref="B65:H65"/>
    <x:mergeCell ref="B66:H66"/>
    <x:mergeCell ref="A53:H53"/>
    <x:mergeCell ref="A58:H58"/>
    <x:mergeCell ref="B59:H59"/>
    <x:mergeCell ref="B60:H60"/>
    <x:mergeCell ref="B61:H61"/>
    <x:mergeCell ref="B45:H45"/>
    <x:mergeCell ref="B46:H46"/>
    <x:mergeCell ref="B47:H47"/>
    <x:mergeCell ref="B48:H48"/>
    <x:mergeCell ref="B49:H49"/>
    <x:mergeCell ref="B40:H40"/>
    <x:mergeCell ref="B41:H41"/>
    <x:mergeCell ref="B42:H42"/>
    <x:mergeCell ref="B43:H43"/>
    <x:mergeCell ref="B44:H44"/>
    <x:mergeCell ref="B28:H28"/>
    <x:mergeCell ref="B29:H29"/>
    <x:mergeCell ref="B30:H30"/>
    <x:mergeCell ref="A34:H34"/>
    <x:mergeCell ref="A39:H39"/>
    <x:mergeCell ref="B23:H23"/>
    <x:mergeCell ref="B24:H24"/>
    <x:mergeCell ref="B25:H25"/>
    <x:mergeCell ref="B26:H26"/>
    <x:mergeCell ref="B27:H27"/>
    <x:mergeCell ref="B11:H11"/>
    <x:mergeCell ref="A15:H15"/>
    <x:mergeCell ref="A20:H20"/>
    <x:mergeCell ref="B21:H21"/>
    <x:mergeCell ref="B22:H22"/>
    <x:mergeCell ref="B6:H6"/>
    <x:mergeCell ref="B7:H7"/>
    <x:mergeCell ref="B8:H8"/>
    <x:mergeCell ref="B9:H9"/>
    <x:mergeCell ref="B10:H10"/>
    <x:mergeCell ref="A1:H1"/>
    <x:mergeCell ref="B2:H2"/>
    <x:mergeCell ref="B3:H3"/>
    <x:mergeCell ref="B4:H4"/>
    <x:mergeCell ref="B5:H5"/>
  </x:mergeCells>
  <x:dataValidations count="1">
    <x:dataValidation type="list" sqref="G16:G18 G339:G341 G320:G322 G301:G303 G282:G284 G263:G265 G244:G246 G225:G227 G206:G208 G187:G189 G168:G170 G149:G151 G130:G132 G111:G113 G92:G94 G73:G75 G54:G56 G35:G37">
      <x:formula1>"Pass,Fail,Pending"</x:formula1>
    </x:dataValidation>
  </x:dataValidation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3.69921875" customWidth="1"/>
    <x:col min="2" max="2" width="21.19921875" customWidth="1"/>
    <x:col min="3" max="3" width="41.19921875" customWidth="1"/>
    <x:col min="4" max="4" width="36.19921875" customWidth="1"/>
    <x:col min="5" max="5" width="37.5" customWidth="1"/>
    <x:col min="6" max="6" width="14" customWidth="1"/>
    <x:col min="7" max="7" width="9.69921875" customWidth="1"/>
    <x:col min="8" max="8" width="27.5" customWidth="1"/>
  </x:cols>
  <x:sheetData>
    <x:row r="1" ht="18" customHeight="1">
      <x:c r="A1" s="13" t="s">
        <x:v>460</x:v>
      </x:c>
      <x:c r="B1" s="13"/>
      <x:c r="C1" s="13"/>
      <x:c r="D1" s="13"/>
      <x:c r="E1" s="13"/>
      <x:c r="F1" s="13"/>
      <x:c r="G1" s="13"/>
      <x:c r="H1" s="13"/>
    </x:row>
    <x:row r="2" ht="15" customHeight="1">
      <x:c r="A2" s="2" t="s">
        <x:v>1</x:v>
      </x:c>
      <x:c r="B2" s="14" t="s">
        <x:v>2</x:v>
      </x:c>
      <x:c r="C2" s="14"/>
      <x:c r="D2" s="14"/>
      <x:c r="E2" s="14"/>
      <x:c r="F2" s="14"/>
      <x:c r="G2" s="14"/>
      <x:c r="H2" s="14"/>
    </x:row>
    <x:row r="3" ht="15" customHeight="1">
      <x:c r="A3" s="2" t="s">
        <x:v>3</x:v>
      </x:c>
      <x:c r="B3" s="14" t="s">
        <x:v>4</x:v>
      </x:c>
      <x:c r="C3" s="14"/>
      <x:c r="D3" s="14"/>
      <x:c r="E3" s="14"/>
      <x:c r="F3" s="14"/>
      <x:c r="G3" s="14"/>
      <x:c r="H3" s="14"/>
    </x:row>
    <x:row r="4" ht="25.5" customHeight="1">
      <x:c r="A4" s="2" t="s">
        <x:v>5</x:v>
      </x:c>
      <x:c r="B4" s="14" t="s">
        <x:v>461</x:v>
      </x:c>
      <x:c r="C4" s="14"/>
      <x:c r="D4" s="14"/>
      <x:c r="E4" s="14"/>
      <x:c r="F4" s="14"/>
      <x:c r="G4" s="14"/>
      <x:c r="H4" s="14"/>
    </x:row>
    <x:row r="5" ht="70.5" customHeight="1">
      <x:c r="A5" s="2" t="s">
        <x:v>7</x:v>
      </x:c>
      <x:c r="B5" s="14" t="s">
        <x:v>462</x:v>
      </x:c>
      <x:c r="C5" s="14"/>
      <x:c r="D5" s="14"/>
      <x:c r="E5" s="14"/>
      <x:c r="F5" s="14"/>
      <x:c r="G5" s="14"/>
      <x:c r="H5" s="14"/>
    </x:row>
    <x:row r="6" ht="63" customHeight="1">
      <x:c r="A6" s="2" t="s">
        <x:v>9</x:v>
      </x:c>
      <x:c r="B6" s="14" t="s">
        <x:v>463</x:v>
      </x:c>
      <x:c r="C6" s="14"/>
      <x:c r="D6" s="14"/>
      <x:c r="E6" s="14"/>
      <x:c r="F6" s="14"/>
      <x:c r="G6" s="14"/>
      <x:c r="H6" s="14"/>
    </x:row>
    <x:row r="7" ht="28.5" customHeight="1">
      <x:c r="A7" s="2" t="s">
        <x:v>11</x:v>
      </x:c>
      <x:c r="B7" s="14" t="s">
        <x:v>464</x:v>
      </x:c>
      <x:c r="C7" s="14"/>
      <x:c r="D7" s="14"/>
      <x:c r="E7" s="14"/>
      <x:c r="F7" s="14"/>
      <x:c r="G7" s="14"/>
      <x:c r="H7" s="14"/>
    </x:row>
    <x:row r="8" ht="15" customHeight="1">
      <x:c r="A8" s="2" t="s">
        <x:v>13</x:v>
      </x:c>
      <x:c r="B8" s="15" t="n">
        <x:f>COUNTIF(G16:G18,"Pass")</x:f>
        <x:v>3</x:v>
      </x:c>
      <x:c r="C8" s="15"/>
      <x:c r="D8" s="15"/>
      <x:c r="E8" s="15"/>
      <x:c r="F8" s="15"/>
      <x:c r="G8" s="15"/>
      <x:c r="H8" s="15"/>
    </x:row>
    <x:row r="9" ht="15" customHeight="1">
      <x:c r="A9" s="2" t="s">
        <x:v>14</x:v>
      </x:c>
      <x:c r="B9" s="15" t="n">
        <x:f>COUNTIF(G16:G18,"Fail")</x:f>
        <x:v>0</x:v>
      </x:c>
      <x:c r="C9" s="15"/>
      <x:c r="D9" s="15"/>
      <x:c r="E9" s="15"/>
      <x:c r="F9" s="15"/>
      <x:c r="G9" s="15"/>
      <x:c r="H9" s="15"/>
    </x:row>
    <x:row r="10" ht="15" customHeight="1">
      <x:c r="A10" s="2" t="s">
        <x:v>15</x:v>
      </x:c>
      <x:c r="B10" s="15" t="n">
        <x:f>COUNTIF(G16:G18,"Pending")</x:f>
        <x:v>0</x:v>
      </x:c>
      <x:c r="C10" s="15"/>
      <x:c r="D10" s="15"/>
      <x:c r="E10" s="15"/>
      <x:c r="F10" s="15"/>
      <x:c r="G10" s="15"/>
      <x:c r="H10" s="15"/>
    </x:row>
    <x:row r="11" ht="30" customHeight="1">
      <x:c r="A11" s="11" t="s">
        <x:v>16</x:v>
      </x:c>
      <x:c r="B11" s="16" t="n">
        <x:f>COUNTA(A16:A18)</x:f>
        <x:v>3</x:v>
      </x:c>
      <x:c r="C11" s="16"/>
      <x:c r="D11" s="16"/>
      <x:c r="E11" s="16"/>
      <x:c r="F11" s="16"/>
      <x:c r="G11" s="16"/>
      <x:c r="H11" s="16"/>
    </x:row>
    <x:row r="12" ht="7.5" customHeight="1">
      <x:c r="A12" s="3"/>
      <x:c r="B12" s="3"/>
      <x:c r="C12" s="3"/>
      <x:c r="D12" s="3"/>
      <x:c r="E12" s="3"/>
      <x:c r="F12" s="3"/>
      <x:c r="G12" s="3"/>
      <x:c r="H12" s="3"/>
    </x:row>
    <x:row r="13" ht="7.5" customHeight="1">
      <x:c r="A13" s="3"/>
      <x:c r="B13" s="3"/>
      <x:c r="C13" s="3"/>
      <x:c r="D13" s="3"/>
      <x:c r="E13" s="3"/>
      <x:c r="F13" s="3"/>
      <x:c r="G13" s="3"/>
      <x:c r="H13" s="3"/>
    </x:row>
    <x:row r="14" ht="24" customHeight="1">
      <x:c r="A14" s="6" t="s">
        <x:v>17</x:v>
      </x:c>
      <x:c r="B14" s="6" t="s">
        <x:v>18</x:v>
      </x:c>
      <x:c r="C14" s="6" t="s">
        <x:v>19</x:v>
      </x:c>
      <x:c r="D14" s="6" t="s">
        <x:v>20</x:v>
      </x:c>
      <x:c r="E14" s="6" t="s">
        <x:v>21</x:v>
      </x:c>
      <x:c r="F14" s="6" t="s">
        <x:v>22</x:v>
      </x:c>
      <x:c r="G14" s="6" t="s">
        <x:v>23</x:v>
      </x:c>
      <x:c r="H14" s="6" t="s">
        <x:v>24</x:v>
      </x:c>
    </x:row>
    <x:row r="15" ht="21" customHeight="1">
      <x:c r="A15" s="13" t="s">
        <x:v>465</x:v>
      </x:c>
      <x:c r="B15" s="13"/>
      <x:c r="C15" s="13"/>
      <x:c r="D15" s="13"/>
      <x:c r="E15" s="13"/>
      <x:c r="F15" s="13"/>
      <x:c r="G15" s="13"/>
      <x:c r="H15" s="13"/>
    </x:row>
    <x:row r="16" ht="64.5" customHeight="1">
      <x:c r="A16" s="3" t="s">
        <x:v>466</x:v>
      </x:c>
      <x:c r="B16" s="3" t="s">
        <x:v>467</x:v>
      </x:c>
      <x:c r="C16" s="3" t="s">
        <x:v>468</x:v>
      </x:c>
      <x:c r="D16" s="3" t="s">
        <x:v>469</x:v>
      </x:c>
      <x:c r="E16" s="3" t="s">
        <x:v>470</x:v>
      </x:c>
      <x:c r="F16" s="7">
        <x:v>46174</x:v>
      </x:c>
      <x:c r="G16" s="5" t="s">
        <x:v>13</x:v>
      </x:c>
      <x:c r="H16" s="3" t="s">
        <x:v>471</x:v>
      </x:c>
    </x:row>
    <x:row r="17" ht="64.5" customHeight="1">
      <x:c r="A17" s="3" t="s">
        <x:v>472</x:v>
      </x:c>
      <x:c r="B17" s="3" t="s">
        <x:v>473</x:v>
      </x:c>
      <x:c r="C17" s="3" t="s">
        <x:v>474</x:v>
      </x:c>
      <x:c r="D17" s="3" t="s">
        <x:v>475</x:v>
      </x:c>
      <x:c r="E17" s="3" t="s">
        <x:v>476</x:v>
      </x:c>
      <x:c r="F17" s="7">
        <x:v>46174</x:v>
      </x:c>
      <x:c r="G17" s="5" t="s">
        <x:v>13</x:v>
      </x:c>
      <x:c r="H17" s="3" t="s">
        <x:v>477</x:v>
      </x:c>
    </x:row>
    <x:row r="18" ht="64.5" customHeight="1">
      <x:c r="A18" s="3" t="s">
        <x:v>478</x:v>
      </x:c>
      <x:c r="B18" s="3" t="s">
        <x:v>479</x:v>
      </x:c>
      <x:c r="C18" s="3" t="s">
        <x:v>480</x:v>
      </x:c>
      <x:c r="D18" s="3" t="s">
        <x:v>481</x:v>
      </x:c>
      <x:c r="E18" s="3" t="s">
        <x:v>482</x:v>
      </x:c>
      <x:c r="F18" s="7">
        <x:v>46174</x:v>
      </x:c>
      <x:c r="G18" s="5" t="s">
        <x:v>13</x:v>
      </x:c>
      <x:c r="H18" s="3" t="s">
        <x:v>483</x:v>
      </x:c>
    </x:row>
    <x:row r="19" ht="18" customHeight="1">
      <x:c r="F19" s="1"/>
    </x:row>
    <x:row r="20" ht="18" customHeight="1">
      <x:c r="A20" s="13" t="str">
        <x:v>TC-24 - As a user, I want my uploaded file to be automatically split into multiple fragments after encryption so that it can be securely stored across different locations.</x:v>
      </x:c>
      <x:c r="B20" s="13"/>
      <x:c r="C20" s="13"/>
      <x:c r="D20" s="13"/>
      <x:c r="E20" s="13"/>
      <x:c r="F20" s="17"/>
      <x:c r="G20" s="13"/>
      <x:c r="H20" s="13"/>
    </x:row>
    <x:row r="21" ht="15" customHeight="1">
      <x:c r="A21" s="2" t="s">
        <x:v>1</x:v>
      </x:c>
      <x:c r="B21" s="14" t="s">
        <x:v>2</x:v>
      </x:c>
      <x:c r="C21" s="14"/>
      <x:c r="D21" s="14"/>
      <x:c r="E21" s="14"/>
      <x:c r="F21" s="18"/>
      <x:c r="G21" s="14"/>
      <x:c r="H21" s="14"/>
    </x:row>
    <x:row r="22" ht="15" customHeight="1">
      <x:c r="A22" s="2" t="s">
        <x:v>3</x:v>
      </x:c>
      <x:c r="B22" s="14" t="s">
        <x:v>4</x:v>
      </x:c>
      <x:c r="C22" s="14"/>
      <x:c r="D22" s="14"/>
      <x:c r="E22" s="14"/>
      <x:c r="F22" s="18"/>
      <x:c r="G22" s="14"/>
      <x:c r="H22" s="14"/>
    </x:row>
    <x:row r="23" ht="25.5" customHeight="1">
      <x:c r="A23" s="2" t="s">
        <x:v>5</x:v>
      </x:c>
      <x:c r="B23" s="14" t="str">
        <x:v>24. As a user, I want my uploaded file to be automatically split into multiple fragments after encryption so that it can be securely stored across different locations.</x:v>
      </x:c>
      <x:c r="C23" s="14"/>
      <x:c r="D23" s="14"/>
      <x:c r="E23" s="14"/>
      <x:c r="F23" s="18"/>
      <x:c r="G23" s="14"/>
      <x:c r="H23" s="14"/>
    </x:row>
    <x:row r="24" ht="70.5" customHeight="1">
      <x:c r="A24" s="2" t="s">
        <x:v>7</x:v>
      </x:c>
      <x:c r="B24" s="14" t="s">
        <x:v>462</x:v>
      </x:c>
      <x:c r="C24" s="14"/>
      <x:c r="D24" s="14"/>
      <x:c r="E24" s="14"/>
      <x:c r="F24" s="18"/>
      <x:c r="G24" s="14"/>
      <x:c r="H24" s="14"/>
    </x:row>
    <x:row r="25" ht="63" customHeight="1">
      <x:c r="A25" s="2" t="s">
        <x:v>9</x:v>
      </x:c>
      <x:c r="B25" s="14" t="s">
        <x:v>484</x:v>
      </x:c>
      <x:c r="C25" s="14"/>
      <x:c r="D25" s="14"/>
      <x:c r="E25" s="14"/>
      <x:c r="F25" s="18"/>
      <x:c r="G25" s="14"/>
      <x:c r="H25" s="14"/>
    </x:row>
    <x:row r="26" ht="28.5" customHeight="1">
      <x:c r="A26" s="2" t="s">
        <x:v>11</x:v>
      </x:c>
      <x:c r="B26" s="14" t="s">
        <x:v>485</x:v>
      </x:c>
      <x:c r="C26" s="14"/>
      <x:c r="D26" s="14"/>
      <x:c r="E26" s="14"/>
      <x:c r="F26" s="18"/>
      <x:c r="G26" s="14"/>
      <x:c r="H26" s="14"/>
    </x:row>
    <x:row r="27" ht="15" customHeight="1">
      <x:c r="A27" s="2" t="s">
        <x:v>13</x:v>
      </x:c>
      <x:c r="B27" s="15" t="n">
        <x:f>COUNTIF(G35:G37,"Pass")</x:f>
        <x:v>3</x:v>
      </x:c>
      <x:c r="C27" s="15"/>
      <x:c r="D27" s="15"/>
      <x:c r="E27" s="15"/>
      <x:c r="F27" s="15"/>
      <x:c r="G27" s="15"/>
      <x:c r="H27" s="15"/>
    </x:row>
    <x:row r="28" ht="15" customHeight="1">
      <x:c r="A28" s="2" t="s">
        <x:v>14</x:v>
      </x:c>
      <x:c r="B28" s="15" t="n">
        <x:f>COUNTIF(G35:G37,"Fail")</x:f>
        <x:v>0</x:v>
      </x:c>
      <x:c r="C28" s="15"/>
      <x:c r="D28" s="15"/>
      <x:c r="E28" s="15"/>
      <x:c r="F28" s="15"/>
      <x:c r="G28" s="15"/>
      <x:c r="H28" s="15"/>
    </x:row>
    <x:row r="29" ht="15" customHeight="1">
      <x:c r="A29" s="2" t="s">
        <x:v>15</x:v>
      </x:c>
      <x:c r="B29" s="15" t="n">
        <x:f>COUNTIF(G35:G37,"Pending")</x:f>
        <x:v>0</x:v>
      </x:c>
      <x:c r="C29" s="15"/>
      <x:c r="D29" s="15"/>
      <x:c r="E29" s="15"/>
      <x:c r="F29" s="15"/>
      <x:c r="G29" s="15"/>
      <x:c r="H29" s="15"/>
    </x:row>
    <x:row r="30" ht="30" customHeight="1">
      <x:c r="A30" s="11" t="s">
        <x:v>16</x:v>
      </x:c>
      <x:c r="B30" s="16" t="n">
        <x:f>COUNTA(A35:A37)</x:f>
        <x:v>3</x:v>
      </x:c>
      <x:c r="C30" s="16"/>
      <x:c r="D30" s="16"/>
      <x:c r="E30" s="16"/>
      <x:c r="F30" s="16"/>
      <x:c r="G30" s="16"/>
      <x:c r="H30" s="16"/>
    </x:row>
    <x:row r="31" ht="7.5" customHeight="1">
      <x:c r="A31" s="3"/>
      <x:c r="B31" s="3"/>
      <x:c r="C31" s="3"/>
      <x:c r="D31" s="3"/>
      <x:c r="E31" s="3"/>
      <x:c r="F31" s="4"/>
      <x:c r="G31" s="3"/>
      <x:c r="H31" s="3"/>
    </x:row>
    <x:row r="32" ht="7.5" customHeight="1">
      <x:c r="A32" s="3"/>
      <x:c r="B32" s="3"/>
      <x:c r="C32" s="3"/>
      <x:c r="D32" s="3"/>
      <x:c r="E32" s="3"/>
      <x:c r="F32" s="4"/>
      <x:c r="G32" s="3"/>
      <x:c r="H32" s="3"/>
    </x:row>
    <x:row r="33" ht="24" customHeight="1">
      <x:c r="A33" s="6" t="s">
        <x:v>17</x:v>
      </x:c>
      <x:c r="B33" s="6" t="s">
        <x:v>18</x:v>
      </x:c>
      <x:c r="C33" s="6" t="s">
        <x:v>19</x:v>
      </x:c>
      <x:c r="D33" s="6" t="s">
        <x:v>20</x:v>
      </x:c>
      <x:c r="E33" s="6" t="s">
        <x:v>21</x:v>
      </x:c>
      <x:c r="F33" s="8" t="s">
        <x:v>22</x:v>
      </x:c>
      <x:c r="G33" s="6" t="s">
        <x:v>23</x:v>
      </x:c>
      <x:c r="H33" s="6" t="s">
        <x:v>24</x:v>
      </x:c>
    </x:row>
    <x:row r="34" ht="21" customHeight="1">
      <x:c r="A34" s="13" t="str">
        <x:v>Sprint 2 US24 - As a user, I want my uploaded file to be automatically split into multiple fragments after encryption so that it can be securely stored across different locations.</x:v>
      </x:c>
      <x:c r="B34" s="13"/>
      <x:c r="C34" s="13"/>
      <x:c r="D34" s="13"/>
      <x:c r="E34" s="13"/>
      <x:c r="F34" s="17"/>
      <x:c r="G34" s="13"/>
      <x:c r="H34" s="13"/>
    </x:row>
    <x:row r="35" ht="64.5" customHeight="1">
      <x:c r="A35" s="3" t="str">
        <x:v>TC-24-1</x:v>
      </x:c>
      <x:c r="B35" s="3" t="s">
        <x:v>486</x:v>
      </x:c>
      <x:c r="C35" s="3" t="s">
        <x:v>487</x:v>
      </x:c>
      <x:c r="D35" s="3" t="s">
        <x:v>488</x:v>
      </x:c>
      <x:c r="E35" s="3" t="s">
        <x:v>489</x:v>
      </x:c>
      <x:c r="F35" s="7">
        <x:v>46180</x:v>
      </x:c>
      <x:c r="G35" s="5" t="s">
        <x:v>13</x:v>
      </x:c>
      <x:c r="H35" s="3" t="s">
        <x:v>490</x:v>
      </x:c>
    </x:row>
    <x:row r="36" ht="64.5" customHeight="1">
      <x:c r="A36" s="3" t="str">
        <x:v>TC-24-2</x:v>
      </x:c>
      <x:c r="B36" s="3" t="s">
        <x:v>491</x:v>
      </x:c>
      <x:c r="C36" s="3" t="s">
        <x:v>492</x:v>
      </x:c>
      <x:c r="D36" s="3" t="s">
        <x:v>493</x:v>
      </x:c>
      <x:c r="E36" s="3" t="s">
        <x:v>494</x:v>
      </x:c>
      <x:c r="F36" s="7">
        <x:v>46180</x:v>
      </x:c>
      <x:c r="G36" s="5" t="s">
        <x:v>13</x:v>
      </x:c>
      <x:c r="H36" s="3" t="s">
        <x:v>495</x:v>
      </x:c>
    </x:row>
    <x:row r="37" ht="64.5" customHeight="1">
      <x:c r="A37" s="3" t="str">
        <x:v>TC-24-3</x:v>
      </x:c>
      <x:c r="B37" s="3" t="s">
        <x:v>496</x:v>
      </x:c>
      <x:c r="C37" s="3" t="s">
        <x:v>497</x:v>
      </x:c>
      <x:c r="D37" s="3" t="s">
        <x:v>498</x:v>
      </x:c>
      <x:c r="E37" s="3" t="s">
        <x:v>499</x:v>
      </x:c>
      <x:c r="F37" s="7">
        <x:v>46180</x:v>
      </x:c>
      <x:c r="G37" s="5" t="s">
        <x:v>13</x:v>
      </x:c>
      <x:c r="H37" s="3" t="s">
        <x:v>500</x:v>
      </x:c>
    </x:row>
    <x:row r="38" ht="18" customHeight="1">
      <x:c r="F38" s="1"/>
    </x:row>
    <x:row r="39" ht="18" customHeight="1">
      <x:c r="A39" s="13" t="str">
        <x:v>TC-25 - As a user, I want to define the number of fragments required for reconstruction (e.g. k-of-n) so that I can control the balance between security and availability.</x:v>
      </x:c>
      <x:c r="B39" s="13"/>
      <x:c r="C39" s="13"/>
      <x:c r="D39" s="13"/>
      <x:c r="E39" s="13"/>
      <x:c r="F39" s="17"/>
      <x:c r="G39" s="13"/>
      <x:c r="H39" s="13"/>
    </x:row>
    <x:row r="40" ht="15" customHeight="1">
      <x:c r="A40" s="2" t="s">
        <x:v>1</x:v>
      </x:c>
      <x:c r="B40" s="14" t="s">
        <x:v>2</x:v>
      </x:c>
      <x:c r="C40" s="14"/>
      <x:c r="D40" s="14"/>
      <x:c r="E40" s="14"/>
      <x:c r="F40" s="18"/>
      <x:c r="G40" s="14"/>
      <x:c r="H40" s="14"/>
    </x:row>
    <x:row r="41" ht="15" customHeight="1">
      <x:c r="A41" s="2" t="s">
        <x:v>3</x:v>
      </x:c>
      <x:c r="B41" s="14" t="s">
        <x:v>4</x:v>
      </x:c>
      <x:c r="C41" s="14"/>
      <x:c r="D41" s="14"/>
      <x:c r="E41" s="14"/>
      <x:c r="F41" s="18"/>
      <x:c r="G41" s="14"/>
      <x:c r="H41" s="14"/>
    </x:row>
    <x:row r="42" ht="25.5" customHeight="1">
      <x:c r="A42" s="2" t="s">
        <x:v>5</x:v>
      </x:c>
      <x:c r="B42" s="14" t="str">
        <x:v>25. As a user, I want to define the number of fragments required for reconstruction (e.g. k-of-n) so that I can control the balance between security and availability.</x:v>
      </x:c>
      <x:c r="C42" s="14"/>
      <x:c r="D42" s="14"/>
      <x:c r="E42" s="14"/>
      <x:c r="F42" s="18"/>
      <x:c r="G42" s="14"/>
      <x:c r="H42" s="14"/>
    </x:row>
    <x:row r="43" ht="70.5" customHeight="1">
      <x:c r="A43" s="2" t="s">
        <x:v>7</x:v>
      </x:c>
      <x:c r="B43" s="14" t="s">
        <x:v>462</x:v>
      </x:c>
      <x:c r="C43" s="14"/>
      <x:c r="D43" s="14"/>
      <x:c r="E43" s="14"/>
      <x:c r="F43" s="18"/>
      <x:c r="G43" s="14"/>
      <x:c r="H43" s="14"/>
    </x:row>
    <x:row r="44" ht="63" customHeight="1">
      <x:c r="A44" s="2" t="s">
        <x:v>9</x:v>
      </x:c>
      <x:c r="B44" s="14" t="s">
        <x:v>501</x:v>
      </x:c>
      <x:c r="C44" s="14"/>
      <x:c r="D44" s="14"/>
      <x:c r="E44" s="14"/>
      <x:c r="F44" s="18"/>
      <x:c r="G44" s="14"/>
      <x:c r="H44" s="14"/>
    </x:row>
    <x:row r="45" ht="28.5" customHeight="1">
      <x:c r="A45" s="2" t="s">
        <x:v>11</x:v>
      </x:c>
      <x:c r="B45" s="14" t="s">
        <x:v>502</x:v>
      </x:c>
      <x:c r="C45" s="14"/>
      <x:c r="D45" s="14"/>
      <x:c r="E45" s="14"/>
      <x:c r="F45" s="18"/>
      <x:c r="G45" s="14"/>
      <x:c r="H45" s="14"/>
    </x:row>
    <x:row r="46" ht="15" customHeight="1">
      <x:c r="A46" s="2" t="s">
        <x:v>13</x:v>
      </x:c>
      <x:c r="B46" s="15" t="n">
        <x:f>COUNTIF(G54:G56,"Pass")</x:f>
        <x:v>3</x:v>
      </x:c>
      <x:c r="C46" s="15"/>
      <x:c r="D46" s="15"/>
      <x:c r="E46" s="15"/>
      <x:c r="F46" s="15"/>
      <x:c r="G46" s="15"/>
      <x:c r="H46" s="15"/>
    </x:row>
    <x:row r="47" ht="15" customHeight="1">
      <x:c r="A47" s="2" t="s">
        <x:v>14</x:v>
      </x:c>
      <x:c r="B47" s="15" t="n">
        <x:f>COUNTIF(G54:G56,"Fail")</x:f>
        <x:v>0</x:v>
      </x:c>
      <x:c r="C47" s="15"/>
      <x:c r="D47" s="15"/>
      <x:c r="E47" s="15"/>
      <x:c r="F47" s="15"/>
      <x:c r="G47" s="15"/>
      <x:c r="H47" s="15"/>
    </x:row>
    <x:row r="48" ht="15" customHeight="1">
      <x:c r="A48" s="2" t="s">
        <x:v>15</x:v>
      </x:c>
      <x:c r="B48" s="15" t="n">
        <x:f>COUNTIF(G54:G56,"Pending")</x:f>
        <x:v>0</x:v>
      </x:c>
      <x:c r="C48" s="15"/>
      <x:c r="D48" s="15"/>
      <x:c r="E48" s="15"/>
      <x:c r="F48" s="15"/>
      <x:c r="G48" s="15"/>
      <x:c r="H48" s="15"/>
    </x:row>
    <x:row r="49" ht="30" customHeight="1">
      <x:c r="A49" s="11" t="s">
        <x:v>16</x:v>
      </x:c>
      <x:c r="B49" s="16" t="n">
        <x:f>COUNTA(A54:A56)</x:f>
        <x:v>3</x:v>
      </x:c>
      <x:c r="C49" s="16"/>
      <x:c r="D49" s="16"/>
      <x:c r="E49" s="16"/>
      <x:c r="F49" s="16"/>
      <x:c r="G49" s="16"/>
      <x:c r="H49" s="16"/>
    </x:row>
    <x:row r="50" ht="7.5" customHeight="1">
      <x:c r="A50" s="3"/>
      <x:c r="B50" s="3"/>
      <x:c r="C50" s="3"/>
      <x:c r="D50" s="3"/>
      <x:c r="E50" s="3"/>
      <x:c r="F50" s="4"/>
      <x:c r="G50" s="3"/>
      <x:c r="H50" s="3"/>
    </x:row>
    <x:row r="51" ht="7.5" customHeight="1">
      <x:c r="A51" s="3"/>
      <x:c r="B51" s="3"/>
      <x:c r="C51" s="3"/>
      <x:c r="D51" s="3"/>
      <x:c r="E51" s="3"/>
      <x:c r="F51" s="4"/>
      <x:c r="G51" s="3"/>
      <x:c r="H51" s="3"/>
    </x:row>
    <x:row r="52" ht="24" customHeight="1">
      <x:c r="A52" s="6" t="s">
        <x:v>17</x:v>
      </x:c>
      <x:c r="B52" s="6" t="s">
        <x:v>18</x:v>
      </x:c>
      <x:c r="C52" s="6" t="s">
        <x:v>19</x:v>
      </x:c>
      <x:c r="D52" s="6" t="s">
        <x:v>20</x:v>
      </x:c>
      <x:c r="E52" s="6" t="s">
        <x:v>21</x:v>
      </x:c>
      <x:c r="F52" s="8" t="s">
        <x:v>22</x:v>
      </x:c>
      <x:c r="G52" s="6" t="s">
        <x:v>23</x:v>
      </x:c>
      <x:c r="H52" s="6" t="s">
        <x:v>24</x:v>
      </x:c>
    </x:row>
    <x:row r="53" ht="21" customHeight="1">
      <x:c r="A53" s="13" t="str">
        <x:v>Sprint 2 US25 - As a user, I want to define the number of fragments required for reconstruction (e.g. k-of-n) so that I can control the balance between security and availability.</x:v>
      </x:c>
      <x:c r="B53" s="13"/>
      <x:c r="C53" s="13"/>
      <x:c r="D53" s="13"/>
      <x:c r="E53" s="13"/>
      <x:c r="F53" s="17"/>
      <x:c r="G53" s="13"/>
      <x:c r="H53" s="13"/>
    </x:row>
    <x:row r="54" ht="64.5" customHeight="1">
      <x:c r="A54" s="3" t="str">
        <x:v>TC-25-1</x:v>
      </x:c>
      <x:c r="B54" s="3" t="s">
        <x:v>503</x:v>
      </x:c>
      <x:c r="C54" s="3" t="s">
        <x:v>504</x:v>
      </x:c>
      <x:c r="D54" s="3" t="s">
        <x:v>505</x:v>
      </x:c>
      <x:c r="E54" s="3" t="s">
        <x:v>506</x:v>
      </x:c>
      <x:c r="F54" s="7">
        <x:v>46186</x:v>
      </x:c>
      <x:c r="G54" s="5" t="s">
        <x:v>13</x:v>
      </x:c>
      <x:c r="H54" s="3" t="s">
        <x:v>507</x:v>
      </x:c>
    </x:row>
    <x:row r="55" ht="64.5" customHeight="1">
      <x:c r="A55" s="3" t="str">
        <x:v>TC-25-2</x:v>
      </x:c>
      <x:c r="B55" s="3" t="s">
        <x:v>508</x:v>
      </x:c>
      <x:c r="C55" s="3" t="s">
        <x:v>509</x:v>
      </x:c>
      <x:c r="D55" s="3" t="s">
        <x:v>510</x:v>
      </x:c>
      <x:c r="E55" s="3" t="s">
        <x:v>511</x:v>
      </x:c>
      <x:c r="F55" s="7">
        <x:v>46186</x:v>
      </x:c>
      <x:c r="G55" s="5" t="s">
        <x:v>13</x:v>
      </x:c>
      <x:c r="H55" s="3" t="s">
        <x:v>512</x:v>
      </x:c>
    </x:row>
    <x:row r="56" ht="64.5" customHeight="1">
      <x:c r="A56" s="3" t="str">
        <x:v>TC-25-3</x:v>
      </x:c>
      <x:c r="B56" s="3" t="s">
        <x:v>513</x:v>
      </x:c>
      <x:c r="C56" s="3" t="s">
        <x:v>514</x:v>
      </x:c>
      <x:c r="D56" s="3" t="s">
        <x:v>515</x:v>
      </x:c>
      <x:c r="E56" s="3" t="s">
        <x:v>516</x:v>
      </x:c>
      <x:c r="F56" s="7">
        <x:v>46186</x:v>
      </x:c>
      <x:c r="G56" s="5" t="s">
        <x:v>13</x:v>
      </x:c>
      <x:c r="H56" s="3" t="s">
        <x:v>517</x:v>
      </x:c>
    </x:row>
    <x:row r="57" ht="18" customHeight="1">
      <x:c r="F57" s="1"/>
    </x:row>
    <x:row r="58" ht="18" customHeight="1">
      <x:c r="A58" s="13" t="str">
        <x:v>TC-26 - As a user, I want the file fragments to be stored separately so that no single storage location contains the full file.</x:v>
      </x:c>
      <x:c r="B58" s="13"/>
      <x:c r="C58" s="13"/>
      <x:c r="D58" s="13"/>
      <x:c r="E58" s="13"/>
      <x:c r="F58" s="17"/>
      <x:c r="G58" s="13"/>
      <x:c r="H58" s="13"/>
    </x:row>
    <x:row r="59" ht="15" customHeight="1">
      <x:c r="A59" s="2" t="s">
        <x:v>1</x:v>
      </x:c>
      <x:c r="B59" s="14" t="s">
        <x:v>2</x:v>
      </x:c>
      <x:c r="C59" s="14"/>
      <x:c r="D59" s="14"/>
      <x:c r="E59" s="14"/>
      <x:c r="F59" s="18"/>
      <x:c r="G59" s="14"/>
      <x:c r="H59" s="14"/>
    </x:row>
    <x:row r="60" ht="15" customHeight="1">
      <x:c r="A60" s="2" t="s">
        <x:v>3</x:v>
      </x:c>
      <x:c r="B60" s="14" t="s">
        <x:v>4</x:v>
      </x:c>
      <x:c r="C60" s="14"/>
      <x:c r="D60" s="14"/>
      <x:c r="E60" s="14"/>
      <x:c r="F60" s="18"/>
      <x:c r="G60" s="14"/>
      <x:c r="H60" s="14"/>
    </x:row>
    <x:row r="61" ht="25.5" customHeight="1">
      <x:c r="A61" s="2" t="s">
        <x:v>5</x:v>
      </x:c>
      <x:c r="B61" s="14" t="str">
        <x:v>26. As a user, I want the file fragments to be stored separately so that no single storage location contains the full file.</x:v>
      </x:c>
      <x:c r="C61" s="14"/>
      <x:c r="D61" s="14"/>
      <x:c r="E61" s="14"/>
      <x:c r="F61" s="18"/>
      <x:c r="G61" s="14"/>
      <x:c r="H61" s="14"/>
    </x:row>
    <x:row r="62" ht="70.5" customHeight="1">
      <x:c r="A62" s="2" t="s">
        <x:v>7</x:v>
      </x:c>
      <x:c r="B62" s="14" t="s">
        <x:v>462</x:v>
      </x:c>
      <x:c r="C62" s="14"/>
      <x:c r="D62" s="14"/>
      <x:c r="E62" s="14"/>
      <x:c r="F62" s="18"/>
      <x:c r="G62" s="14"/>
      <x:c r="H62" s="14"/>
    </x:row>
    <x:row r="63" ht="63" customHeight="1">
      <x:c r="A63" s="2" t="s">
        <x:v>9</x:v>
      </x:c>
      <x:c r="B63" s="14" t="s">
        <x:v>518</x:v>
      </x:c>
      <x:c r="C63" s="14"/>
      <x:c r="D63" s="14"/>
      <x:c r="E63" s="14"/>
      <x:c r="F63" s="18"/>
      <x:c r="G63" s="14"/>
      <x:c r="H63" s="14"/>
    </x:row>
    <x:row r="64" ht="28.5" customHeight="1">
      <x:c r="A64" s="2" t="s">
        <x:v>11</x:v>
      </x:c>
      <x:c r="B64" s="14" t="s">
        <x:v>519</x:v>
      </x:c>
      <x:c r="C64" s="14"/>
      <x:c r="D64" s="14"/>
      <x:c r="E64" s="14"/>
      <x:c r="F64" s="18"/>
      <x:c r="G64" s="14"/>
      <x:c r="H64" s="14"/>
    </x:row>
    <x:row r="65" ht="15" customHeight="1">
      <x:c r="A65" s="2" t="s">
        <x:v>13</x:v>
      </x:c>
      <x:c r="B65" s="15" t="n">
        <x:f>COUNTIF(G73:G75,"Pass")</x:f>
        <x:v>3</x:v>
      </x:c>
      <x:c r="C65" s="15"/>
      <x:c r="D65" s="15"/>
      <x:c r="E65" s="15"/>
      <x:c r="F65" s="15"/>
      <x:c r="G65" s="15"/>
      <x:c r="H65" s="15"/>
    </x:row>
    <x:row r="66" ht="15" customHeight="1">
      <x:c r="A66" s="2" t="s">
        <x:v>14</x:v>
      </x:c>
      <x:c r="B66" s="15" t="n">
        <x:f>COUNTIF(G73:G75,"Fail")</x:f>
        <x:v>0</x:v>
      </x:c>
      <x:c r="C66" s="15"/>
      <x:c r="D66" s="15"/>
      <x:c r="E66" s="15"/>
      <x:c r="F66" s="15"/>
      <x:c r="G66" s="15"/>
      <x:c r="H66" s="15"/>
    </x:row>
    <x:row r="67" ht="15" customHeight="1">
      <x:c r="A67" s="2" t="s">
        <x:v>15</x:v>
      </x:c>
      <x:c r="B67" s="15" t="n">
        <x:f>COUNTIF(G73:G75,"Pending")</x:f>
        <x:v>0</x:v>
      </x:c>
      <x:c r="C67" s="15"/>
      <x:c r="D67" s="15"/>
      <x:c r="E67" s="15"/>
      <x:c r="F67" s="15"/>
      <x:c r="G67" s="15"/>
      <x:c r="H67" s="15"/>
    </x:row>
    <x:row r="68" ht="30" customHeight="1">
      <x:c r="A68" s="11" t="s">
        <x:v>16</x:v>
      </x:c>
      <x:c r="B68" s="16" t="n">
        <x:f>COUNTA(A73:A75)</x:f>
        <x:v>3</x:v>
      </x:c>
      <x:c r="C68" s="16"/>
      <x:c r="D68" s="16"/>
      <x:c r="E68" s="16"/>
      <x:c r="F68" s="16"/>
      <x:c r="G68" s="16"/>
      <x:c r="H68" s="16"/>
    </x:row>
    <x:row r="69" ht="7.5" customHeight="1">
      <x:c r="A69" s="3"/>
      <x:c r="B69" s="3"/>
      <x:c r="C69" s="3"/>
      <x:c r="D69" s="3"/>
      <x:c r="E69" s="3"/>
      <x:c r="F69" s="4"/>
      <x:c r="G69" s="3"/>
      <x:c r="H69" s="3"/>
    </x:row>
    <x:row r="70" ht="7.5" customHeight="1">
      <x:c r="A70" s="3"/>
      <x:c r="B70" s="3"/>
      <x:c r="C70" s="3"/>
      <x:c r="D70" s="3"/>
      <x:c r="E70" s="3"/>
      <x:c r="F70" s="4"/>
      <x:c r="G70" s="3"/>
      <x:c r="H70" s="3"/>
    </x:row>
    <x:row r="71" ht="24" customHeight="1">
      <x:c r="A71" s="6" t="s">
        <x:v>17</x:v>
      </x:c>
      <x:c r="B71" s="6" t="s">
        <x:v>18</x:v>
      </x:c>
      <x:c r="C71" s="6" t="s">
        <x:v>19</x:v>
      </x:c>
      <x:c r="D71" s="6" t="s">
        <x:v>20</x:v>
      </x:c>
      <x:c r="E71" s="6" t="s">
        <x:v>21</x:v>
      </x:c>
      <x:c r="F71" s="8" t="s">
        <x:v>22</x:v>
      </x:c>
      <x:c r="G71" s="6" t="s">
        <x:v>23</x:v>
      </x:c>
      <x:c r="H71" s="6" t="s">
        <x:v>24</x:v>
      </x:c>
    </x:row>
    <x:row r="72" ht="21" customHeight="1">
      <x:c r="A72" s="13" t="str">
        <x:v>Sprint 2 US26 - As a user, I want the file fragments to be stored separately so that no single storage location contains the full file.</x:v>
      </x:c>
      <x:c r="B72" s="13"/>
      <x:c r="C72" s="13"/>
      <x:c r="D72" s="13"/>
      <x:c r="E72" s="13"/>
      <x:c r="F72" s="17"/>
      <x:c r="G72" s="13"/>
      <x:c r="H72" s="13"/>
    </x:row>
    <x:row r="73" ht="64.5" customHeight="1">
      <x:c r="A73" s="3" t="str">
        <x:v>TC-26-1</x:v>
      </x:c>
      <x:c r="B73" s="3" t="s">
        <x:v>520</x:v>
      </x:c>
      <x:c r="C73" s="3" t="s">
        <x:v>521</x:v>
      </x:c>
      <x:c r="D73" s="3" t="s">
        <x:v>522</x:v>
      </x:c>
      <x:c r="E73" s="3" t="s">
        <x:v>523</x:v>
      </x:c>
      <x:c r="F73" s="7">
        <x:v>46193</x:v>
      </x:c>
      <x:c r="G73" s="5" t="s">
        <x:v>13</x:v>
      </x:c>
      <x:c r="H73" s="3" t="s">
        <x:v>524</x:v>
      </x:c>
    </x:row>
    <x:row r="74" ht="64.5" customHeight="1">
      <x:c r="A74" s="3" t="str">
        <x:v>TC-26-2</x:v>
      </x:c>
      <x:c r="B74" s="3" t="s">
        <x:v>525</x:v>
      </x:c>
      <x:c r="C74" s="3" t="s">
        <x:v>526</x:v>
      </x:c>
      <x:c r="D74" s="3" t="s">
        <x:v>527</x:v>
      </x:c>
      <x:c r="E74" s="3" t="s">
        <x:v>528</x:v>
      </x:c>
      <x:c r="F74" s="7">
        <x:v>46193</x:v>
      </x:c>
      <x:c r="G74" s="5" t="s">
        <x:v>13</x:v>
      </x:c>
      <x:c r="H74" s="3" t="s">
        <x:v>529</x:v>
      </x:c>
    </x:row>
    <x:row r="75" ht="64.5" customHeight="1">
      <x:c r="A75" s="3" t="str">
        <x:v>TC-26-3</x:v>
      </x:c>
      <x:c r="B75" s="3" t="s">
        <x:v>530</x:v>
      </x:c>
      <x:c r="C75" s="3" t="s">
        <x:v>531</x:v>
      </x:c>
      <x:c r="D75" s="3" t="s">
        <x:v>532</x:v>
      </x:c>
      <x:c r="E75" s="3" t="s">
        <x:v>533</x:v>
      </x:c>
      <x:c r="F75" s="7">
        <x:v>46193</x:v>
      </x:c>
      <x:c r="G75" s="5" t="s">
        <x:v>13</x:v>
      </x:c>
      <x:c r="H75" s="3" t="s">
        <x:v>534</x:v>
      </x:c>
    </x:row>
    <x:row r="76" ht="18" customHeight="1"/>
  </x:sheetData>
  <x:mergeCells>
    <x:mergeCell ref="B67:H67"/>
    <x:mergeCell ref="B68:H68"/>
    <x:mergeCell ref="A72:H72"/>
    <x:mergeCell ref="B62:H62"/>
    <x:mergeCell ref="B63:H63"/>
    <x:mergeCell ref="B64:H64"/>
    <x:mergeCell ref="B65:H65"/>
    <x:mergeCell ref="B66:H66"/>
    <x:mergeCell ref="A53:H53"/>
    <x:mergeCell ref="A58:H58"/>
    <x:mergeCell ref="B59:H59"/>
    <x:mergeCell ref="B60:H60"/>
    <x:mergeCell ref="B61:H61"/>
    <x:mergeCell ref="B45:H45"/>
    <x:mergeCell ref="B46:H46"/>
    <x:mergeCell ref="B47:H47"/>
    <x:mergeCell ref="B48:H48"/>
    <x:mergeCell ref="B49:H49"/>
    <x:mergeCell ref="B40:H40"/>
    <x:mergeCell ref="B41:H41"/>
    <x:mergeCell ref="B42:H42"/>
    <x:mergeCell ref="B43:H43"/>
    <x:mergeCell ref="B44:H44"/>
    <x:mergeCell ref="B28:H28"/>
    <x:mergeCell ref="B29:H29"/>
    <x:mergeCell ref="B30:H30"/>
    <x:mergeCell ref="A34:H34"/>
    <x:mergeCell ref="A39:H39"/>
    <x:mergeCell ref="B23:H23"/>
    <x:mergeCell ref="B24:H24"/>
    <x:mergeCell ref="B25:H25"/>
    <x:mergeCell ref="B26:H26"/>
    <x:mergeCell ref="B27:H27"/>
    <x:mergeCell ref="B11:H11"/>
    <x:mergeCell ref="A15:H15"/>
    <x:mergeCell ref="A20:H20"/>
    <x:mergeCell ref="B21:H21"/>
    <x:mergeCell ref="B22:H22"/>
    <x:mergeCell ref="B6:H6"/>
    <x:mergeCell ref="B7:H7"/>
    <x:mergeCell ref="B8:H8"/>
    <x:mergeCell ref="B9:H9"/>
    <x:mergeCell ref="B10:H10"/>
    <x:mergeCell ref="A1:H1"/>
    <x:mergeCell ref="B2:H2"/>
    <x:mergeCell ref="B3:H3"/>
    <x:mergeCell ref="B4:H4"/>
    <x:mergeCell ref="B5:H5"/>
  </x:mergeCells>
  <x:dataValidations count="1">
    <x:dataValidation type="list" sqref="G16:G18 G73:G75 G54:G56 G35:G37">
      <x:formula1>"Pass,Fail,Pending"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3.69921875" customWidth="1"/>
    <x:col min="2" max="2" width="21.19921875" customWidth="1"/>
    <x:col min="3" max="3" width="41.19921875" customWidth="1"/>
    <x:col min="4" max="4" width="36.19921875" customWidth="1"/>
    <x:col min="5" max="5" width="37.5" customWidth="1"/>
    <x:col min="6" max="6" width="14" customWidth="1"/>
    <x:col min="7" max="7" width="9.69921875" customWidth="1"/>
    <x:col min="8" max="8" width="27.5" customWidth="1"/>
  </x:cols>
  <x:sheetData>
    <x:row r="1" ht="18" customHeight="1">
      <x:c r="A1" s="13" t="s">
        <x:v>535</x:v>
      </x:c>
      <x:c r="B1" s="13"/>
      <x:c r="C1" s="13"/>
      <x:c r="D1" s="13"/>
      <x:c r="E1" s="13"/>
      <x:c r="F1" s="13"/>
      <x:c r="G1" s="13"/>
      <x:c r="H1" s="13"/>
    </x:row>
    <x:row r="2" ht="15" customHeight="1">
      <x:c r="A2" s="2" t="s">
        <x:v>1</x:v>
      </x:c>
      <x:c r="B2" s="14" t="s">
        <x:v>2</x:v>
      </x:c>
      <x:c r="C2" s="14"/>
      <x:c r="D2" s="14"/>
      <x:c r="E2" s="14"/>
      <x:c r="F2" s="14"/>
      <x:c r="G2" s="14"/>
      <x:c r="H2" s="14"/>
    </x:row>
    <x:row r="3" ht="15" customHeight="1">
      <x:c r="A3" s="2" t="s">
        <x:v>3</x:v>
      </x:c>
      <x:c r="B3" s="14" t="s">
        <x:v>4</x:v>
      </x:c>
      <x:c r="C3" s="14"/>
      <x:c r="D3" s="14"/>
      <x:c r="E3" s="14"/>
      <x:c r="F3" s="14"/>
      <x:c r="G3" s="14"/>
      <x:c r="H3" s="14"/>
    </x:row>
    <x:row r="4" ht="25.5" customHeight="1">
      <x:c r="A4" s="2" t="s">
        <x:v>5</x:v>
      </x:c>
      <x:c r="B4" s="14" t="s">
        <x:v>536</x:v>
      </x:c>
      <x:c r="C4" s="14"/>
      <x:c r="D4" s="14"/>
      <x:c r="E4" s="14"/>
      <x:c r="F4" s="14"/>
      <x:c r="G4" s="14"/>
      <x:c r="H4" s="14"/>
    </x:row>
    <x:row r="5" ht="70.5" customHeight="1">
      <x:c r="A5" s="2" t="s">
        <x:v>7</x:v>
      </x:c>
      <x:c r="B5" s="14" t="s">
        <x:v>462</x:v>
      </x:c>
      <x:c r="C5" s="14"/>
      <x:c r="D5" s="14"/>
      <x:c r="E5" s="14"/>
      <x:c r="F5" s="14"/>
      <x:c r="G5" s="14"/>
      <x:c r="H5" s="14"/>
    </x:row>
    <x:row r="6" ht="63" customHeight="1">
      <x:c r="A6" s="2" t="s">
        <x:v>9</x:v>
      </x:c>
      <x:c r="B6" s="14" t="s">
        <x:v>537</x:v>
      </x:c>
      <x:c r="C6" s="14"/>
      <x:c r="D6" s="14"/>
      <x:c r="E6" s="14"/>
      <x:c r="F6" s="14"/>
      <x:c r="G6" s="14"/>
      <x:c r="H6" s="14"/>
    </x:row>
    <x:row r="7" ht="28.5" customHeight="1">
      <x:c r="A7" s="2" t="s">
        <x:v>11</x:v>
      </x:c>
      <x:c r="B7" s="14" t="s">
        <x:v>538</x:v>
      </x:c>
      <x:c r="C7" s="14"/>
      <x:c r="D7" s="14"/>
      <x:c r="E7" s="14"/>
      <x:c r="F7" s="14"/>
      <x:c r="G7" s="14"/>
      <x:c r="H7" s="14"/>
    </x:row>
    <x:row r="8" ht="15" customHeight="1">
      <x:c r="A8" s="2" t="s">
        <x:v>13</x:v>
      </x:c>
      <x:c r="B8" s="15" t="n">
        <x:f>COUNTIF(G16:G18,"Pass")</x:f>
        <x:v>3</x:v>
      </x:c>
      <x:c r="C8" s="15"/>
      <x:c r="D8" s="15"/>
      <x:c r="E8" s="15"/>
      <x:c r="F8" s="15"/>
      <x:c r="G8" s="15"/>
      <x:c r="H8" s="15"/>
    </x:row>
    <x:row r="9" ht="15" customHeight="1">
      <x:c r="A9" s="2" t="s">
        <x:v>14</x:v>
      </x:c>
      <x:c r="B9" s="15" t="n">
        <x:f>COUNTIF(G16:G18,"Fail")</x:f>
        <x:v>0</x:v>
      </x:c>
      <x:c r="C9" s="15"/>
      <x:c r="D9" s="15"/>
      <x:c r="E9" s="15"/>
      <x:c r="F9" s="15"/>
      <x:c r="G9" s="15"/>
      <x:c r="H9" s="15"/>
    </x:row>
    <x:row r="10" ht="15" customHeight="1">
      <x:c r="A10" s="2" t="s">
        <x:v>15</x:v>
      </x:c>
      <x:c r="B10" s="15" t="n">
        <x:f>COUNTIF(G16:G18,"Pending")</x:f>
        <x:v>0</x:v>
      </x:c>
      <x:c r="C10" s="15"/>
      <x:c r="D10" s="15"/>
      <x:c r="E10" s="15"/>
      <x:c r="F10" s="15"/>
      <x:c r="G10" s="15"/>
      <x:c r="H10" s="15"/>
    </x:row>
    <x:row r="11" ht="30" customHeight="1">
      <x:c r="A11" s="11" t="s">
        <x:v>16</x:v>
      </x:c>
      <x:c r="B11" s="16" t="n">
        <x:f>COUNTA(A16:A18)</x:f>
        <x:v>3</x:v>
      </x:c>
      <x:c r="C11" s="16"/>
      <x:c r="D11" s="16"/>
      <x:c r="E11" s="16"/>
      <x:c r="F11" s="16"/>
      <x:c r="G11" s="16"/>
      <x:c r="H11" s="16"/>
    </x:row>
    <x:row r="12" ht="7.5" customHeight="1">
      <x:c r="A12" s="3"/>
      <x:c r="B12" s="3"/>
      <x:c r="C12" s="3"/>
      <x:c r="D12" s="3"/>
      <x:c r="E12" s="3"/>
      <x:c r="F12" s="3"/>
      <x:c r="G12" s="3"/>
      <x:c r="H12" s="3"/>
    </x:row>
    <x:row r="13" ht="7.5" customHeight="1">
      <x:c r="A13" s="3"/>
      <x:c r="B13" s="3"/>
      <x:c r="C13" s="3"/>
      <x:c r="D13" s="3"/>
      <x:c r="E13" s="3"/>
      <x:c r="F13" s="3"/>
      <x:c r="G13" s="3"/>
      <x:c r="H13" s="3"/>
    </x:row>
    <x:row r="14" ht="24" customHeight="1">
      <x:c r="A14" s="6" t="s">
        <x:v>17</x:v>
      </x:c>
      <x:c r="B14" s="6" t="s">
        <x:v>18</x:v>
      </x:c>
      <x:c r="C14" s="6" t="s">
        <x:v>19</x:v>
      </x:c>
      <x:c r="D14" s="6" t="s">
        <x:v>20</x:v>
      </x:c>
      <x:c r="E14" s="6" t="s">
        <x:v>21</x:v>
      </x:c>
      <x:c r="F14" s="6" t="s">
        <x:v>22</x:v>
      </x:c>
      <x:c r="G14" s="6" t="s">
        <x:v>23</x:v>
      </x:c>
      <x:c r="H14" s="6" t="s">
        <x:v>24</x:v>
      </x:c>
    </x:row>
    <x:row r="15" ht="21" customHeight="1">
      <x:c r="A15" s="13" t="s">
        <x:v>539</x:v>
      </x:c>
      <x:c r="B15" s="13"/>
      <x:c r="C15" s="13"/>
      <x:c r="D15" s="13"/>
      <x:c r="E15" s="13"/>
      <x:c r="F15" s="13"/>
      <x:c r="G15" s="13"/>
      <x:c r="H15" s="13"/>
    </x:row>
    <x:row r="16" ht="64.5" customHeight="1">
      <x:c r="A16" s="3" t="s">
        <x:v>540</x:v>
      </x:c>
      <x:c r="B16" s="3" t="s">
        <x:v>541</x:v>
      </x:c>
      <x:c r="C16" s="3" t="s">
        <x:v>542</x:v>
      </x:c>
      <x:c r="D16" s="3" t="s">
        <x:v>543</x:v>
      </x:c>
      <x:c r="E16" s="3" t="s">
        <x:v>544</x:v>
      </x:c>
      <x:c r="F16" s="7">
        <x:v>46193</x:v>
      </x:c>
      <x:c r="G16" s="5" t="s">
        <x:v>13</x:v>
      </x:c>
      <x:c r="H16" s="3" t="s">
        <x:v>545</x:v>
      </x:c>
    </x:row>
    <x:row r="17" ht="64.5" customHeight="1">
      <x:c r="A17" s="3" t="s">
        <x:v>546</x:v>
      </x:c>
      <x:c r="B17" s="3" t="s">
        <x:v>547</x:v>
      </x:c>
      <x:c r="C17" s="3" t="s">
        <x:v>548</x:v>
      </x:c>
      <x:c r="D17" s="3" t="s">
        <x:v>549</x:v>
      </x:c>
      <x:c r="E17" s="3" t="s">
        <x:v>550</x:v>
      </x:c>
      <x:c r="F17" s="7">
        <x:v>46193</x:v>
      </x:c>
      <x:c r="G17" s="5" t="s">
        <x:v>13</x:v>
      </x:c>
      <x:c r="H17" s="3" t="s">
        <x:v>551</x:v>
      </x:c>
    </x:row>
    <x:row r="18" ht="64.5" customHeight="1">
      <x:c r="A18" s="3" t="s">
        <x:v>552</x:v>
      </x:c>
      <x:c r="B18" s="3" t="s">
        <x:v>553</x:v>
      </x:c>
      <x:c r="C18" s="3" t="s">
        <x:v>554</x:v>
      </x:c>
      <x:c r="D18" s="3" t="s">
        <x:v>555</x:v>
      </x:c>
      <x:c r="E18" s="3" t="s">
        <x:v>556</x:v>
      </x:c>
      <x:c r="F18" s="7">
        <x:v>46193</x:v>
      </x:c>
      <x:c r="G18" s="5" t="s">
        <x:v>13</x:v>
      </x:c>
      <x:c r="H18" s="3" t="s">
        <x:v>557</x:v>
      </x:c>
    </x:row>
    <x:row r="19" ht="18" customHeight="1">
      <x:c r="F19" s="1"/>
    </x:row>
    <x:row r="20" ht="18" customHeight="1">
      <x:c r="A20" s="13" t="s">
        <x:v>558</x:v>
      </x:c>
      <x:c r="B20" s="13"/>
      <x:c r="C20" s="13"/>
      <x:c r="D20" s="13"/>
      <x:c r="E20" s="13"/>
      <x:c r="F20" s="17"/>
      <x:c r="G20" s="13"/>
      <x:c r="H20" s="13"/>
    </x:row>
    <x:row r="21" ht="15" customHeight="1">
      <x:c r="A21" s="2" t="s">
        <x:v>1</x:v>
      </x:c>
      <x:c r="B21" s="14" t="s">
        <x:v>2</x:v>
      </x:c>
      <x:c r="C21" s="14"/>
      <x:c r="D21" s="14"/>
      <x:c r="E21" s="14"/>
      <x:c r="F21" s="18"/>
      <x:c r="G21" s="14"/>
      <x:c r="H21" s="14"/>
    </x:row>
    <x:row r="22" ht="15" customHeight="1">
      <x:c r="A22" s="2" t="s">
        <x:v>3</x:v>
      </x:c>
      <x:c r="B22" s="14" t="s">
        <x:v>4</x:v>
      </x:c>
      <x:c r="C22" s="14"/>
      <x:c r="D22" s="14"/>
      <x:c r="E22" s="14"/>
      <x:c r="F22" s="18"/>
      <x:c r="G22" s="14"/>
      <x:c r="H22" s="14"/>
    </x:row>
    <x:row r="23" ht="25.5" customHeight="1">
      <x:c r="A23" s="2" t="s">
        <x:v>5</x:v>
      </x:c>
      <x:c r="B23" s="14" t="s">
        <x:v>559</x:v>
      </x:c>
      <x:c r="C23" s="14"/>
      <x:c r="D23" s="14"/>
      <x:c r="E23" s="14"/>
      <x:c r="F23" s="18"/>
      <x:c r="G23" s="14"/>
      <x:c r="H23" s="14"/>
    </x:row>
    <x:row r="24" ht="70.5" customHeight="1">
      <x:c r="A24" s="2" t="s">
        <x:v>7</x:v>
      </x:c>
      <x:c r="B24" s="14" t="s">
        <x:v>462</x:v>
      </x:c>
      <x:c r="C24" s="14"/>
      <x:c r="D24" s="14"/>
      <x:c r="E24" s="14"/>
      <x:c r="F24" s="18"/>
      <x:c r="G24" s="14"/>
      <x:c r="H24" s="14"/>
    </x:row>
    <x:row r="25" ht="63" customHeight="1">
      <x:c r="A25" s="2" t="s">
        <x:v>9</x:v>
      </x:c>
      <x:c r="B25" s="14" t="s">
        <x:v>560</x:v>
      </x:c>
      <x:c r="C25" s="14"/>
      <x:c r="D25" s="14"/>
      <x:c r="E25" s="14"/>
      <x:c r="F25" s="18"/>
      <x:c r="G25" s="14"/>
      <x:c r="H25" s="14"/>
    </x:row>
    <x:row r="26" ht="28.5" customHeight="1">
      <x:c r="A26" s="2" t="s">
        <x:v>11</x:v>
      </x:c>
      <x:c r="B26" s="14" t="s">
        <x:v>561</x:v>
      </x:c>
      <x:c r="C26" s="14"/>
      <x:c r="D26" s="14"/>
      <x:c r="E26" s="14"/>
      <x:c r="F26" s="18"/>
      <x:c r="G26" s="14"/>
      <x:c r="H26" s="14"/>
    </x:row>
    <x:row r="27" ht="15" customHeight="1">
      <x:c r="A27" s="2" t="s">
        <x:v>13</x:v>
      </x:c>
      <x:c r="B27" s="15" t="n">
        <x:f>COUNTIF(G35:G37,"Pass")</x:f>
        <x:v>3</x:v>
      </x:c>
      <x:c r="C27" s="15"/>
      <x:c r="D27" s="15"/>
      <x:c r="E27" s="15"/>
      <x:c r="F27" s="15"/>
      <x:c r="G27" s="15"/>
      <x:c r="H27" s="15"/>
    </x:row>
    <x:row r="28" ht="15" customHeight="1">
      <x:c r="A28" s="2" t="s">
        <x:v>14</x:v>
      </x:c>
      <x:c r="B28" s="15" t="n">
        <x:f>COUNTIF(G35:G37,"Fail")</x:f>
        <x:v>0</x:v>
      </x:c>
      <x:c r="C28" s="15"/>
      <x:c r="D28" s="15"/>
      <x:c r="E28" s="15"/>
      <x:c r="F28" s="15"/>
      <x:c r="G28" s="15"/>
      <x:c r="H28" s="15"/>
    </x:row>
    <x:row r="29" ht="15" customHeight="1">
      <x:c r="A29" s="2" t="s">
        <x:v>15</x:v>
      </x:c>
      <x:c r="B29" s="15" t="n">
        <x:f>COUNTIF(G35:G37,"Pending")</x:f>
        <x:v>0</x:v>
      </x:c>
      <x:c r="C29" s="15"/>
      <x:c r="D29" s="15"/>
      <x:c r="E29" s="15"/>
      <x:c r="F29" s="15"/>
      <x:c r="G29" s="15"/>
      <x:c r="H29" s="15"/>
    </x:row>
    <x:row r="30" ht="30" customHeight="1">
      <x:c r="A30" s="11" t="s">
        <x:v>16</x:v>
      </x:c>
      <x:c r="B30" s="16" t="n">
        <x:f>COUNTA(A35:A37)</x:f>
        <x:v>3</x:v>
      </x:c>
      <x:c r="C30" s="16"/>
      <x:c r="D30" s="16"/>
      <x:c r="E30" s="16"/>
      <x:c r="F30" s="16"/>
      <x:c r="G30" s="16"/>
      <x:c r="H30" s="16"/>
    </x:row>
    <x:row r="31" ht="7.5" customHeight="1">
      <x:c r="A31" s="3"/>
      <x:c r="B31" s="3"/>
      <x:c r="C31" s="3"/>
      <x:c r="D31" s="3"/>
      <x:c r="E31" s="3"/>
      <x:c r="F31" s="4"/>
      <x:c r="G31" s="3"/>
      <x:c r="H31" s="3"/>
    </x:row>
    <x:row r="32" ht="7.5" customHeight="1">
      <x:c r="A32" s="3"/>
      <x:c r="B32" s="3"/>
      <x:c r="C32" s="3"/>
      <x:c r="D32" s="3"/>
      <x:c r="E32" s="3"/>
      <x:c r="F32" s="4"/>
      <x:c r="G32" s="3"/>
      <x:c r="H32" s="3"/>
    </x:row>
    <x:row r="33" ht="24" customHeight="1">
      <x:c r="A33" s="6" t="s">
        <x:v>17</x:v>
      </x:c>
      <x:c r="B33" s="6" t="s">
        <x:v>18</x:v>
      </x:c>
      <x:c r="C33" s="6" t="s">
        <x:v>19</x:v>
      </x:c>
      <x:c r="D33" s="6" t="s">
        <x:v>20</x:v>
      </x:c>
      <x:c r="E33" s="6" t="s">
        <x:v>21</x:v>
      </x:c>
      <x:c r="F33" s="8" t="s">
        <x:v>22</x:v>
      </x:c>
      <x:c r="G33" s="6" t="s">
        <x:v>23</x:v>
      </x:c>
      <x:c r="H33" s="6" t="s">
        <x:v>24</x:v>
      </x:c>
    </x:row>
    <x:row r="34" ht="21" customHeight="1">
      <x:c r="A34" s="13" t="s">
        <x:v>562</x:v>
      </x:c>
      <x:c r="B34" s="13"/>
      <x:c r="C34" s="13"/>
      <x:c r="D34" s="13"/>
      <x:c r="E34" s="13"/>
      <x:c r="F34" s="17"/>
      <x:c r="G34" s="13"/>
      <x:c r="H34" s="13"/>
    </x:row>
    <x:row r="35" ht="64.5" customHeight="1">
      <x:c r="A35" s="3" t="s">
        <x:v>563</x:v>
      </x:c>
      <x:c r="B35" s="3" t="s">
        <x:v>346</x:v>
      </x:c>
      <x:c r="C35" s="3" t="s">
        <x:v>564</x:v>
      </x:c>
      <x:c r="D35" s="3" t="s">
        <x:v>565</x:v>
      </x:c>
      <x:c r="E35" s="3" t="s">
        <x:v>566</x:v>
      </x:c>
      <x:c r="F35" s="7">
        <x:v>46195</x:v>
      </x:c>
      <x:c r="G35" s="5" t="s">
        <x:v>13</x:v>
      </x:c>
      <x:c r="H35" s="3" t="s">
        <x:v>567</x:v>
      </x:c>
    </x:row>
    <x:row r="36" ht="64.5" customHeight="1">
      <x:c r="A36" s="3" t="s">
        <x:v>568</x:v>
      </x:c>
      <x:c r="B36" s="3" t="s">
        <x:v>569</x:v>
      </x:c>
      <x:c r="C36" s="3" t="s">
        <x:v>570</x:v>
      </x:c>
      <x:c r="D36" s="3" t="s">
        <x:v>571</x:v>
      </x:c>
      <x:c r="E36" s="3" t="s">
        <x:v>572</x:v>
      </x:c>
      <x:c r="F36" s="7">
        <x:v>46195</x:v>
      </x:c>
      <x:c r="G36" s="5" t="s">
        <x:v>13</x:v>
      </x:c>
      <x:c r="H36" s="3" t="s">
        <x:v>573</x:v>
      </x:c>
    </x:row>
    <x:row r="37" ht="64.5" customHeight="1">
      <x:c r="A37" s="3" t="s">
        <x:v>574</x:v>
      </x:c>
      <x:c r="B37" s="3" t="s">
        <x:v>575</x:v>
      </x:c>
      <x:c r="C37" s="3" t="s">
        <x:v>576</x:v>
      </x:c>
      <x:c r="D37" s="3" t="s">
        <x:v>577</x:v>
      </x:c>
      <x:c r="E37" s="3" t="s">
        <x:v>578</x:v>
      </x:c>
      <x:c r="F37" s="7">
        <x:v>46195</x:v>
      </x:c>
      <x:c r="G37" s="5" t="s">
        <x:v>13</x:v>
      </x:c>
      <x:c r="H37" s="3" t="s">
        <x:v>579</x:v>
      </x:c>
    </x:row>
    <x:row r="38" ht="18" customHeight="1">
      <x:c r="F38" s="1"/>
    </x:row>
    <x:row r="39" ht="18" customHeight="1">
      <x:c r="A39" s="13" t="s">
        <x:v>580</x:v>
      </x:c>
      <x:c r="B39" s="13"/>
      <x:c r="C39" s="13"/>
      <x:c r="D39" s="13"/>
      <x:c r="E39" s="13"/>
      <x:c r="F39" s="17"/>
      <x:c r="G39" s="13"/>
      <x:c r="H39" s="13"/>
    </x:row>
    <x:row r="40" ht="15" customHeight="1">
      <x:c r="A40" s="2" t="s">
        <x:v>1</x:v>
      </x:c>
      <x:c r="B40" s="14" t="s">
        <x:v>2</x:v>
      </x:c>
      <x:c r="C40" s="14"/>
      <x:c r="D40" s="14"/>
      <x:c r="E40" s="14"/>
      <x:c r="F40" s="18"/>
      <x:c r="G40" s="14"/>
      <x:c r="H40" s="14"/>
    </x:row>
    <x:row r="41" ht="15" customHeight="1">
      <x:c r="A41" s="2" t="s">
        <x:v>3</x:v>
      </x:c>
      <x:c r="B41" s="14" t="s">
        <x:v>4</x:v>
      </x:c>
      <x:c r="C41" s="14"/>
      <x:c r="D41" s="14"/>
      <x:c r="E41" s="14"/>
      <x:c r="F41" s="18"/>
      <x:c r="G41" s="14"/>
      <x:c r="H41" s="14"/>
    </x:row>
    <x:row r="42" ht="25.5" customHeight="1">
      <x:c r="A42" s="2" t="s">
        <x:v>5</x:v>
      </x:c>
      <x:c r="B42" s="14" t="s">
        <x:v>581</x:v>
      </x:c>
      <x:c r="C42" s="14"/>
      <x:c r="D42" s="14"/>
      <x:c r="E42" s="14"/>
      <x:c r="F42" s="18"/>
      <x:c r="G42" s="14"/>
      <x:c r="H42" s="14"/>
    </x:row>
    <x:row r="43" ht="70.5" customHeight="1">
      <x:c r="A43" s="2" t="s">
        <x:v>7</x:v>
      </x:c>
      <x:c r="B43" s="14" t="s">
        <x:v>582</x:v>
      </x:c>
      <x:c r="C43" s="14"/>
      <x:c r="D43" s="14"/>
      <x:c r="E43" s="14"/>
      <x:c r="F43" s="18"/>
      <x:c r="G43" s="14"/>
      <x:c r="H43" s="14"/>
    </x:row>
    <x:row r="44" ht="63" customHeight="1">
      <x:c r="A44" s="2" t="s">
        <x:v>9</x:v>
      </x:c>
      <x:c r="B44" s="14" t="s">
        <x:v>583</x:v>
      </x:c>
      <x:c r="C44" s="14"/>
      <x:c r="D44" s="14"/>
      <x:c r="E44" s="14"/>
      <x:c r="F44" s="18"/>
      <x:c r="G44" s="14"/>
      <x:c r="H44" s="14"/>
    </x:row>
    <x:row r="45" ht="28.5" customHeight="1">
      <x:c r="A45" s="2" t="s">
        <x:v>11</x:v>
      </x:c>
      <x:c r="B45" s="14" t="s">
        <x:v>584</x:v>
      </x:c>
      <x:c r="C45" s="14"/>
      <x:c r="D45" s="14"/>
      <x:c r="E45" s="14"/>
      <x:c r="F45" s="18"/>
      <x:c r="G45" s="14"/>
      <x:c r="H45" s="14"/>
    </x:row>
    <x:row r="46" ht="15" customHeight="1">
      <x:c r="A46" s="2" t="s">
        <x:v>13</x:v>
      </x:c>
      <x:c r="B46" s="15" t="n">
        <x:f>COUNTIF(G54:G56,"Pass")</x:f>
        <x:v>3</x:v>
      </x:c>
      <x:c r="C46" s="15"/>
      <x:c r="D46" s="15"/>
      <x:c r="E46" s="15"/>
      <x:c r="F46" s="15"/>
      <x:c r="G46" s="15"/>
      <x:c r="H46" s="15"/>
    </x:row>
    <x:row r="47" ht="15" customHeight="1">
      <x:c r="A47" s="2" t="s">
        <x:v>14</x:v>
      </x:c>
      <x:c r="B47" s="15" t="n">
        <x:f>COUNTIF(G54:G56,"Fail")</x:f>
        <x:v>0</x:v>
      </x:c>
      <x:c r="C47" s="15"/>
      <x:c r="D47" s="15"/>
      <x:c r="E47" s="15"/>
      <x:c r="F47" s="15"/>
      <x:c r="G47" s="15"/>
      <x:c r="H47" s="15"/>
    </x:row>
    <x:row r="48" ht="15" customHeight="1">
      <x:c r="A48" s="2" t="s">
        <x:v>15</x:v>
      </x:c>
      <x:c r="B48" s="15" t="n">
        <x:f>COUNTIF(G54:G56,"Pending")</x:f>
        <x:v>0</x:v>
      </x:c>
      <x:c r="C48" s="15"/>
      <x:c r="D48" s="15"/>
      <x:c r="E48" s="15"/>
      <x:c r="F48" s="15"/>
      <x:c r="G48" s="15"/>
      <x:c r="H48" s="15"/>
    </x:row>
    <x:row r="49" ht="30" customHeight="1">
      <x:c r="A49" s="11" t="s">
        <x:v>16</x:v>
      </x:c>
      <x:c r="B49" s="16" t="n">
        <x:f>COUNTA(A54:A56)</x:f>
        <x:v>3</x:v>
      </x:c>
      <x:c r="C49" s="16"/>
      <x:c r="D49" s="16"/>
      <x:c r="E49" s="16"/>
      <x:c r="F49" s="16"/>
      <x:c r="G49" s="16"/>
      <x:c r="H49" s="16"/>
    </x:row>
    <x:row r="50" ht="7.5" customHeight="1">
      <x:c r="A50" s="3"/>
      <x:c r="B50" s="3"/>
      <x:c r="C50" s="3"/>
      <x:c r="D50" s="3"/>
      <x:c r="E50" s="3"/>
      <x:c r="F50" s="4"/>
      <x:c r="G50" s="3"/>
      <x:c r="H50" s="3"/>
    </x:row>
    <x:row r="51" ht="7.5" customHeight="1">
      <x:c r="A51" s="3"/>
      <x:c r="B51" s="3"/>
      <x:c r="C51" s="3"/>
      <x:c r="D51" s="3"/>
      <x:c r="E51" s="3"/>
      <x:c r="F51" s="4"/>
      <x:c r="G51" s="3"/>
      <x:c r="H51" s="3"/>
    </x:row>
    <x:row r="52" ht="24" customHeight="1">
      <x:c r="A52" s="6" t="s">
        <x:v>17</x:v>
      </x:c>
      <x:c r="B52" s="6" t="s">
        <x:v>18</x:v>
      </x:c>
      <x:c r="C52" s="6" t="s">
        <x:v>19</x:v>
      </x:c>
      <x:c r="D52" s="6" t="s">
        <x:v>20</x:v>
      </x:c>
      <x:c r="E52" s="6" t="s">
        <x:v>21</x:v>
      </x:c>
      <x:c r="F52" s="8" t="s">
        <x:v>22</x:v>
      </x:c>
      <x:c r="G52" s="6" t="s">
        <x:v>23</x:v>
      </x:c>
      <x:c r="H52" s="6" t="s">
        <x:v>24</x:v>
      </x:c>
    </x:row>
    <x:row r="53" ht="21" customHeight="1">
      <x:c r="A53" s="13" t="s">
        <x:v>585</x:v>
      </x:c>
      <x:c r="B53" s="13"/>
      <x:c r="C53" s="13"/>
      <x:c r="D53" s="13"/>
      <x:c r="E53" s="13"/>
      <x:c r="F53" s="17"/>
      <x:c r="G53" s="13"/>
      <x:c r="H53" s="13"/>
    </x:row>
    <x:row r="54" ht="64.5" customHeight="1">
      <x:c r="A54" s="3" t="s">
        <x:v>586</x:v>
      </x:c>
      <x:c r="B54" s="3" t="s">
        <x:v>587</x:v>
      </x:c>
      <x:c r="C54" s="3" t="s">
        <x:v>588</x:v>
      </x:c>
      <x:c r="D54" s="3" t="s">
        <x:v>589</x:v>
      </x:c>
      <x:c r="E54" s="3" t="s">
        <x:v>590</x:v>
      </x:c>
      <x:c r="F54" s="7">
        <x:v>46198</x:v>
      </x:c>
      <x:c r="G54" s="5" t="s">
        <x:v>13</x:v>
      </x:c>
      <x:c r="H54" s="3" t="s">
        <x:v>591</x:v>
      </x:c>
    </x:row>
    <x:row r="55" ht="64.5" customHeight="1">
      <x:c r="A55" s="3" t="s">
        <x:v>592</x:v>
      </x:c>
      <x:c r="B55" s="3" t="s">
        <x:v>593</x:v>
      </x:c>
      <x:c r="C55" s="3" t="s">
        <x:v>594</x:v>
      </x:c>
      <x:c r="D55" s="3" t="s">
        <x:v>595</x:v>
      </x:c>
      <x:c r="E55" s="3" t="s">
        <x:v>596</x:v>
      </x:c>
      <x:c r="F55" s="7">
        <x:v>46198</x:v>
      </x:c>
      <x:c r="G55" s="5" t="s">
        <x:v>13</x:v>
      </x:c>
      <x:c r="H55" s="3" t="s">
        <x:v>597</x:v>
      </x:c>
    </x:row>
    <x:row r="56" ht="64.5" customHeight="1">
      <x:c r="A56" s="3" t="s">
        <x:v>598</x:v>
      </x:c>
      <x:c r="B56" s="3" t="s">
        <x:v>599</x:v>
      </x:c>
      <x:c r="C56" s="3" t="s">
        <x:v>600</x:v>
      </x:c>
      <x:c r="D56" s="3" t="s">
        <x:v>601</x:v>
      </x:c>
      <x:c r="E56" s="3" t="s">
        <x:v>602</x:v>
      </x:c>
      <x:c r="F56" s="7">
        <x:v>46198</x:v>
      </x:c>
      <x:c r="G56" s="5" t="s">
        <x:v>13</x:v>
      </x:c>
      <x:c r="H56" s="3" t="s">
        <x:v>603</x:v>
      </x:c>
    </x:row>
    <x:row r="57" ht="18" customHeight="1">
      <x:c r="F57" s="1"/>
    </x:row>
    <x:row r="58" ht="18" customHeight="1">
      <x:c r="A58" s="13" t="s">
        <x:v>604</x:v>
      </x:c>
      <x:c r="B58" s="13"/>
      <x:c r="C58" s="13"/>
      <x:c r="D58" s="13"/>
      <x:c r="E58" s="13"/>
      <x:c r="F58" s="17"/>
      <x:c r="G58" s="13"/>
      <x:c r="H58" s="13"/>
    </x:row>
    <x:row r="59" ht="15" customHeight="1">
      <x:c r="A59" s="2" t="s">
        <x:v>1</x:v>
      </x:c>
      <x:c r="B59" s="14" t="s">
        <x:v>2</x:v>
      </x:c>
      <x:c r="C59" s="14"/>
      <x:c r="D59" s="14"/>
      <x:c r="E59" s="14"/>
      <x:c r="F59" s="18"/>
      <x:c r="G59" s="14"/>
      <x:c r="H59" s="14"/>
    </x:row>
    <x:row r="60" ht="15" customHeight="1">
      <x:c r="A60" s="2" t="s">
        <x:v>3</x:v>
      </x:c>
      <x:c r="B60" s="14" t="s">
        <x:v>4</x:v>
      </x:c>
      <x:c r="C60" s="14"/>
      <x:c r="D60" s="14"/>
      <x:c r="E60" s="14"/>
      <x:c r="F60" s="18"/>
      <x:c r="G60" s="14"/>
      <x:c r="H60" s="14"/>
    </x:row>
    <x:row r="61" ht="25.5" customHeight="1">
      <x:c r="A61" s="2" t="s">
        <x:v>5</x:v>
      </x:c>
      <x:c r="B61" s="14" t="s">
        <x:v>605</x:v>
      </x:c>
      <x:c r="C61" s="14"/>
      <x:c r="D61" s="14"/>
      <x:c r="E61" s="14"/>
      <x:c r="F61" s="18"/>
      <x:c r="G61" s="14"/>
      <x:c r="H61" s="14"/>
    </x:row>
    <x:row r="62" ht="70.5" customHeight="1">
      <x:c r="A62" s="2" t="s">
        <x:v>7</x:v>
      </x:c>
      <x:c r="B62" s="14" t="s">
        <x:v>462</x:v>
      </x:c>
      <x:c r="C62" s="14"/>
      <x:c r="D62" s="14"/>
      <x:c r="E62" s="14"/>
      <x:c r="F62" s="18"/>
      <x:c r="G62" s="14"/>
      <x:c r="H62" s="14"/>
    </x:row>
    <x:row r="63" ht="63" customHeight="1">
      <x:c r="A63" s="2" t="s">
        <x:v>9</x:v>
      </x:c>
      <x:c r="B63" s="14" t="s">
        <x:v>606</x:v>
      </x:c>
      <x:c r="C63" s="14"/>
      <x:c r="D63" s="14"/>
      <x:c r="E63" s="14"/>
      <x:c r="F63" s="18"/>
      <x:c r="G63" s="14"/>
      <x:c r="H63" s="14"/>
    </x:row>
    <x:row r="64" ht="28.5" customHeight="1">
      <x:c r="A64" s="2" t="s">
        <x:v>11</x:v>
      </x:c>
      <x:c r="B64" s="14" t="s">
        <x:v>607</x:v>
      </x:c>
      <x:c r="C64" s="14"/>
      <x:c r="D64" s="14"/>
      <x:c r="E64" s="14"/>
      <x:c r="F64" s="18"/>
      <x:c r="G64" s="14"/>
      <x:c r="H64" s="14"/>
    </x:row>
    <x:row r="65" ht="15" customHeight="1">
      <x:c r="A65" s="2" t="s">
        <x:v>13</x:v>
      </x:c>
      <x:c r="B65" s="15" t="n">
        <x:f>COUNTIF(G73:G75,"Pass")</x:f>
        <x:v>3</x:v>
      </x:c>
      <x:c r="C65" s="15"/>
      <x:c r="D65" s="15"/>
      <x:c r="E65" s="15"/>
      <x:c r="F65" s="15"/>
      <x:c r="G65" s="15"/>
      <x:c r="H65" s="15"/>
    </x:row>
    <x:row r="66" ht="15" customHeight="1">
      <x:c r="A66" s="2" t="s">
        <x:v>14</x:v>
      </x:c>
      <x:c r="B66" s="15" t="n">
        <x:f>COUNTIF(G73:G75,"Fail")</x:f>
        <x:v>0</x:v>
      </x:c>
      <x:c r="C66" s="15"/>
      <x:c r="D66" s="15"/>
      <x:c r="E66" s="15"/>
      <x:c r="F66" s="15"/>
      <x:c r="G66" s="15"/>
      <x:c r="H66" s="15"/>
    </x:row>
    <x:row r="67" ht="15" customHeight="1">
      <x:c r="A67" s="2" t="s">
        <x:v>15</x:v>
      </x:c>
      <x:c r="B67" s="15" t="n">
        <x:f>COUNTIF(G73:G75,"Pending")</x:f>
        <x:v>0</x:v>
      </x:c>
      <x:c r="C67" s="15"/>
      <x:c r="D67" s="15"/>
      <x:c r="E67" s="15"/>
      <x:c r="F67" s="15"/>
      <x:c r="G67" s="15"/>
      <x:c r="H67" s="15"/>
    </x:row>
    <x:row r="68" ht="30" customHeight="1">
      <x:c r="A68" s="11" t="s">
        <x:v>16</x:v>
      </x:c>
      <x:c r="B68" s="16" t="n">
        <x:f>COUNTA(A73:A75)</x:f>
        <x:v>3</x:v>
      </x:c>
      <x:c r="C68" s="16"/>
      <x:c r="D68" s="16"/>
      <x:c r="E68" s="16"/>
      <x:c r="F68" s="16"/>
      <x:c r="G68" s="16"/>
      <x:c r="H68" s="16"/>
    </x:row>
    <x:row r="69" ht="7.5" customHeight="1">
      <x:c r="A69" s="3"/>
      <x:c r="B69" s="3"/>
      <x:c r="C69" s="3"/>
      <x:c r="D69" s="3"/>
      <x:c r="E69" s="3"/>
      <x:c r="F69" s="4"/>
      <x:c r="G69" s="3"/>
      <x:c r="H69" s="3"/>
    </x:row>
    <x:row r="70" ht="7.5" customHeight="1">
      <x:c r="A70" s="3"/>
      <x:c r="B70" s="3"/>
      <x:c r="C70" s="3"/>
      <x:c r="D70" s="3"/>
      <x:c r="E70" s="3"/>
      <x:c r="F70" s="4"/>
      <x:c r="G70" s="3"/>
      <x:c r="H70" s="3"/>
    </x:row>
    <x:row r="71" ht="24" customHeight="1">
      <x:c r="A71" s="6" t="s">
        <x:v>17</x:v>
      </x:c>
      <x:c r="B71" s="6" t="s">
        <x:v>18</x:v>
      </x:c>
      <x:c r="C71" s="6" t="s">
        <x:v>19</x:v>
      </x:c>
      <x:c r="D71" s="6" t="s">
        <x:v>20</x:v>
      </x:c>
      <x:c r="E71" s="6" t="s">
        <x:v>21</x:v>
      </x:c>
      <x:c r="F71" s="8" t="s">
        <x:v>22</x:v>
      </x:c>
      <x:c r="G71" s="6" t="s">
        <x:v>23</x:v>
      </x:c>
      <x:c r="H71" s="6" t="s">
        <x:v>24</x:v>
      </x:c>
    </x:row>
    <x:row r="72" ht="21" customHeight="1">
      <x:c r="A72" s="13" t="s">
        <x:v>608</x:v>
      </x:c>
      <x:c r="B72" s="13"/>
      <x:c r="C72" s="13"/>
      <x:c r="D72" s="13"/>
      <x:c r="E72" s="13"/>
      <x:c r="F72" s="17"/>
      <x:c r="G72" s="13"/>
      <x:c r="H72" s="13"/>
    </x:row>
    <x:row r="73" ht="64.5" customHeight="1">
      <x:c r="A73" s="3" t="s">
        <x:v>609</x:v>
      </x:c>
      <x:c r="B73" s="3" t="s">
        <x:v>610</x:v>
      </x:c>
      <x:c r="C73" s="3" t="s">
        <x:v>611</x:v>
      </x:c>
      <x:c r="D73" s="3" t="s">
        <x:v>612</x:v>
      </x:c>
      <x:c r="E73" s="3" t="s">
        <x:v>613</x:v>
      </x:c>
      <x:c r="F73" s="7">
        <x:v>46200</x:v>
      </x:c>
      <x:c r="G73" s="5" t="s">
        <x:v>13</x:v>
      </x:c>
      <x:c r="H73" s="3" t="s">
        <x:v>614</x:v>
      </x:c>
    </x:row>
    <x:row r="74" ht="64.5" customHeight="1">
      <x:c r="A74" s="3" t="s">
        <x:v>615</x:v>
      </x:c>
      <x:c r="B74" s="3" t="s">
        <x:v>616</x:v>
      </x:c>
      <x:c r="C74" s="3" t="s">
        <x:v>617</x:v>
      </x:c>
      <x:c r="D74" s="3" t="s">
        <x:v>618</x:v>
      </x:c>
      <x:c r="E74" s="3" t="s">
        <x:v>619</x:v>
      </x:c>
      <x:c r="F74" s="7">
        <x:v>46200</x:v>
      </x:c>
      <x:c r="G74" s="5" t="s">
        <x:v>13</x:v>
      </x:c>
      <x:c r="H74" s="3" t="s">
        <x:v>620</x:v>
      </x:c>
    </x:row>
    <x:row r="75" ht="64.5" customHeight="1">
      <x:c r="A75" s="3" t="s">
        <x:v>621</x:v>
      </x:c>
      <x:c r="B75" s="3" t="s">
        <x:v>622</x:v>
      </x:c>
      <x:c r="C75" s="3" t="s">
        <x:v>623</x:v>
      </x:c>
      <x:c r="D75" s="3" t="s">
        <x:v>624</x:v>
      </x:c>
      <x:c r="E75" s="3" t="s">
        <x:v>625</x:v>
      </x:c>
      <x:c r="F75" s="7">
        <x:v>46200</x:v>
      </x:c>
      <x:c r="G75" s="5" t="s">
        <x:v>13</x:v>
      </x:c>
      <x:c r="H75" s="3" t="s">
        <x:v>626</x:v>
      </x:c>
    </x:row>
    <x:row r="76" ht="18" customHeight="1">
      <x:c r="F76" s="1"/>
    </x:row>
    <x:row r="77" ht="18" customHeight="1">
      <x:c r="A77" s="13" t="s">
        <x:v>627</x:v>
      </x:c>
      <x:c r="B77" s="13"/>
      <x:c r="C77" s="13"/>
      <x:c r="D77" s="13"/>
      <x:c r="E77" s="13"/>
      <x:c r="F77" s="17"/>
      <x:c r="G77" s="13"/>
      <x:c r="H77" s="13"/>
    </x:row>
    <x:row r="78" ht="15" customHeight="1">
      <x:c r="A78" s="2" t="s">
        <x:v>1</x:v>
      </x:c>
      <x:c r="B78" s="14" t="s">
        <x:v>2</x:v>
      </x:c>
      <x:c r="C78" s="14"/>
      <x:c r="D78" s="14"/>
      <x:c r="E78" s="14"/>
      <x:c r="F78" s="18"/>
      <x:c r="G78" s="14"/>
      <x:c r="H78" s="14"/>
    </x:row>
    <x:row r="79" ht="15" customHeight="1">
      <x:c r="A79" s="2" t="s">
        <x:v>3</x:v>
      </x:c>
      <x:c r="B79" s="14" t="s">
        <x:v>4</x:v>
      </x:c>
      <x:c r="C79" s="14"/>
      <x:c r="D79" s="14"/>
      <x:c r="E79" s="14"/>
      <x:c r="F79" s="18"/>
      <x:c r="G79" s="14"/>
      <x:c r="H79" s="14"/>
    </x:row>
    <x:row r="80" ht="25.5" customHeight="1">
      <x:c r="A80" s="2" t="s">
        <x:v>5</x:v>
      </x:c>
      <x:c r="B80" s="14" t="s">
        <x:v>628</x:v>
      </x:c>
      <x:c r="C80" s="14"/>
      <x:c r="D80" s="14"/>
      <x:c r="E80" s="14"/>
      <x:c r="F80" s="18"/>
      <x:c r="G80" s="14"/>
      <x:c r="H80" s="14"/>
    </x:row>
    <x:row r="81" ht="70.5" customHeight="1">
      <x:c r="A81" s="2" t="s">
        <x:v>7</x:v>
      </x:c>
      <x:c r="B81" s="14" t="s">
        <x:v>462</x:v>
      </x:c>
      <x:c r="C81" s="14"/>
      <x:c r="D81" s="14"/>
      <x:c r="E81" s="14"/>
      <x:c r="F81" s="18"/>
      <x:c r="G81" s="14"/>
      <x:c r="H81" s="14"/>
    </x:row>
    <x:row r="82" ht="63" customHeight="1">
      <x:c r="A82" s="2" t="s">
        <x:v>9</x:v>
      </x:c>
      <x:c r="B82" s="14" t="s">
        <x:v>629</x:v>
      </x:c>
      <x:c r="C82" s="14"/>
      <x:c r="D82" s="14"/>
      <x:c r="E82" s="14"/>
      <x:c r="F82" s="18"/>
      <x:c r="G82" s="14"/>
      <x:c r="H82" s="14"/>
    </x:row>
    <x:row r="83" ht="28.5" customHeight="1">
      <x:c r="A83" s="2" t="s">
        <x:v>11</x:v>
      </x:c>
      <x:c r="B83" s="14" t="s">
        <x:v>630</x:v>
      </x:c>
      <x:c r="C83" s="14"/>
      <x:c r="D83" s="14"/>
      <x:c r="E83" s="14"/>
      <x:c r="F83" s="18"/>
      <x:c r="G83" s="14"/>
      <x:c r="H83" s="14"/>
    </x:row>
    <x:row r="84" ht="15" customHeight="1">
      <x:c r="A84" s="2" t="s">
        <x:v>13</x:v>
      </x:c>
      <x:c r="B84" s="15" t="n">
        <x:f>COUNTIF(G92:G94,"Pass")</x:f>
        <x:v>3</x:v>
      </x:c>
      <x:c r="C84" s="15"/>
      <x:c r="D84" s="15"/>
      <x:c r="E84" s="15"/>
      <x:c r="F84" s="15"/>
      <x:c r="G84" s="15"/>
      <x:c r="H84" s="15"/>
    </x:row>
    <x:row r="85" ht="15" customHeight="1">
      <x:c r="A85" s="2" t="s">
        <x:v>14</x:v>
      </x:c>
      <x:c r="B85" s="15" t="n">
        <x:f>COUNTIF(G92:G94,"Fail")</x:f>
        <x:v>0</x:v>
      </x:c>
      <x:c r="C85" s="15"/>
      <x:c r="D85" s="15"/>
      <x:c r="E85" s="15"/>
      <x:c r="F85" s="15"/>
      <x:c r="G85" s="15"/>
      <x:c r="H85" s="15"/>
    </x:row>
    <x:row r="86" ht="15" customHeight="1">
      <x:c r="A86" s="2" t="s">
        <x:v>15</x:v>
      </x:c>
      <x:c r="B86" s="15" t="n">
        <x:f>COUNTIF(G92:G94,"Pending")</x:f>
        <x:v>0</x:v>
      </x:c>
      <x:c r="C86" s="15"/>
      <x:c r="D86" s="15"/>
      <x:c r="E86" s="15"/>
      <x:c r="F86" s="15"/>
      <x:c r="G86" s="15"/>
      <x:c r="H86" s="15"/>
    </x:row>
    <x:row r="87" ht="30" customHeight="1">
      <x:c r="A87" s="11" t="s">
        <x:v>16</x:v>
      </x:c>
      <x:c r="B87" s="16" t="n">
        <x:f>COUNTA(A92:A94)</x:f>
        <x:v>3</x:v>
      </x:c>
      <x:c r="C87" s="16"/>
      <x:c r="D87" s="16"/>
      <x:c r="E87" s="16"/>
      <x:c r="F87" s="16"/>
      <x:c r="G87" s="16"/>
      <x:c r="H87" s="16"/>
    </x:row>
    <x:row r="88" ht="7.5" customHeight="1">
      <x:c r="A88" s="3"/>
      <x:c r="B88" s="3"/>
      <x:c r="C88" s="3"/>
      <x:c r="D88" s="3"/>
      <x:c r="E88" s="3"/>
      <x:c r="F88" s="4"/>
      <x:c r="G88" s="3"/>
      <x:c r="H88" s="3"/>
    </x:row>
    <x:row r="89" ht="7.5" customHeight="1">
      <x:c r="A89" s="3"/>
      <x:c r="B89" s="3"/>
      <x:c r="C89" s="3"/>
      <x:c r="D89" s="3"/>
      <x:c r="E89" s="3"/>
      <x:c r="F89" s="4"/>
      <x:c r="G89" s="3"/>
      <x:c r="H89" s="3"/>
    </x:row>
    <x:row r="90" ht="24" customHeight="1">
      <x:c r="A90" s="6" t="s">
        <x:v>17</x:v>
      </x:c>
      <x:c r="B90" s="6" t="s">
        <x:v>18</x:v>
      </x:c>
      <x:c r="C90" s="6" t="s">
        <x:v>19</x:v>
      </x:c>
      <x:c r="D90" s="6" t="s">
        <x:v>20</x:v>
      </x:c>
      <x:c r="E90" s="6" t="s">
        <x:v>21</x:v>
      </x:c>
      <x:c r="F90" s="8" t="s">
        <x:v>22</x:v>
      </x:c>
      <x:c r="G90" s="6" t="s">
        <x:v>23</x:v>
      </x:c>
      <x:c r="H90" s="6" t="s">
        <x:v>24</x:v>
      </x:c>
    </x:row>
    <x:row r="91" ht="21" customHeight="1">
      <x:c r="A91" s="13" t="s">
        <x:v>631</x:v>
      </x:c>
      <x:c r="B91" s="13"/>
      <x:c r="C91" s="13"/>
      <x:c r="D91" s="13"/>
      <x:c r="E91" s="13"/>
      <x:c r="F91" s="17"/>
      <x:c r="G91" s="13"/>
      <x:c r="H91" s="13"/>
    </x:row>
    <x:row r="92" ht="64.5" customHeight="1">
      <x:c r="A92" s="3" t="s">
        <x:v>632</x:v>
      </x:c>
      <x:c r="B92" s="3" t="s">
        <x:v>633</x:v>
      </x:c>
      <x:c r="C92" s="3" t="s">
        <x:v>634</x:v>
      </x:c>
      <x:c r="D92" s="3" t="s">
        <x:v>635</x:v>
      </x:c>
      <x:c r="E92" s="3" t="s">
        <x:v>636</x:v>
      </x:c>
      <x:c r="F92" s="7">
        <x:v>46203</x:v>
      </x:c>
      <x:c r="G92" s="5" t="s">
        <x:v>13</x:v>
      </x:c>
      <x:c r="H92" s="3" t="s">
        <x:v>637</x:v>
      </x:c>
    </x:row>
    <x:row r="93" ht="64.5" customHeight="1">
      <x:c r="A93" s="3" t="s">
        <x:v>638</x:v>
      </x:c>
      <x:c r="B93" s="3" t="s">
        <x:v>639</x:v>
      </x:c>
      <x:c r="C93" s="3" t="s">
        <x:v>640</x:v>
      </x:c>
      <x:c r="D93" s="3" t="s">
        <x:v>641</x:v>
      </x:c>
      <x:c r="E93" s="3" t="s">
        <x:v>642</x:v>
      </x:c>
      <x:c r="F93" s="7">
        <x:v>46203</x:v>
      </x:c>
      <x:c r="G93" s="5" t="s">
        <x:v>13</x:v>
      </x:c>
      <x:c r="H93" s="3" t="s">
        <x:v>643</x:v>
      </x:c>
    </x:row>
    <x:row r="94" ht="64.5" customHeight="1">
      <x:c r="A94" s="3" t="s">
        <x:v>644</x:v>
      </x:c>
      <x:c r="B94" s="3" t="s">
        <x:v>645</x:v>
      </x:c>
      <x:c r="C94" s="3" t="s">
        <x:v>646</x:v>
      </x:c>
      <x:c r="D94" s="3" t="s">
        <x:v>647</x:v>
      </x:c>
      <x:c r="E94" s="3" t="s">
        <x:v>648</x:v>
      </x:c>
      <x:c r="F94" s="7">
        <x:v>46203</x:v>
      </x:c>
      <x:c r="G94" s="5" t="s">
        <x:v>13</x:v>
      </x:c>
      <x:c r="H94" s="3" t="s">
        <x:v>649</x:v>
      </x:c>
    </x:row>
    <x:row r="95" ht="18" customHeight="1">
      <x:c r="F95" s="1"/>
    </x:row>
    <x:row r="96" ht="18" customHeight="1">
      <x:c r="A96" s="13" t="str">
        <x:v>TC-27 - As a user, I want my file to be automatically reconstructed and decrypted so that I can access the original content without manual steps.</x:v>
      </x:c>
      <x:c r="B96" s="13"/>
      <x:c r="C96" s="13"/>
      <x:c r="D96" s="13"/>
      <x:c r="E96" s="13"/>
      <x:c r="F96" s="17"/>
      <x:c r="G96" s="13"/>
      <x:c r="H96" s="13"/>
    </x:row>
    <x:row r="97" ht="15" customHeight="1">
      <x:c r="A97" s="2" t="s">
        <x:v>1</x:v>
      </x:c>
      <x:c r="B97" s="14" t="s">
        <x:v>2</x:v>
      </x:c>
      <x:c r="C97" s="14"/>
      <x:c r="D97" s="14"/>
      <x:c r="E97" s="14"/>
      <x:c r="F97" s="18"/>
      <x:c r="G97" s="14"/>
      <x:c r="H97" s="14"/>
    </x:row>
    <x:row r="98" ht="15" customHeight="1">
      <x:c r="A98" s="2" t="s">
        <x:v>3</x:v>
      </x:c>
      <x:c r="B98" s="14" t="s">
        <x:v>4</x:v>
      </x:c>
      <x:c r="C98" s="14"/>
      <x:c r="D98" s="14"/>
      <x:c r="E98" s="14"/>
      <x:c r="F98" s="18"/>
      <x:c r="G98" s="14"/>
      <x:c r="H98" s="14"/>
    </x:row>
    <x:row r="99" ht="25.5" customHeight="1">
      <x:c r="A99" s="2" t="s">
        <x:v>5</x:v>
      </x:c>
      <x:c r="B99" s="14" t="str">
        <x:v>27. As a user, I want my file to be automatically reconstructed and decrypted so that I can access the original content without manual steps.</x:v>
      </x:c>
      <x:c r="C99" s="14"/>
      <x:c r="D99" s="14"/>
      <x:c r="E99" s="14"/>
      <x:c r="F99" s="18"/>
      <x:c r="G99" s="14"/>
      <x:c r="H99" s="14"/>
    </x:row>
    <x:row r="100" ht="70.5" customHeight="1">
      <x:c r="A100" s="2" t="s">
        <x:v>7</x:v>
      </x:c>
      <x:c r="B100" s="14" t="s">
        <x:v>462</x:v>
      </x:c>
      <x:c r="C100" s="14"/>
      <x:c r="D100" s="14"/>
      <x:c r="E100" s="14"/>
      <x:c r="F100" s="18"/>
      <x:c r="G100" s="14"/>
      <x:c r="H100" s="14"/>
    </x:row>
    <x:row r="101" ht="63" customHeight="1">
      <x:c r="A101" s="2" t="s">
        <x:v>9</x:v>
      </x:c>
      <x:c r="B101" s="14" t="str">
        <x:v>1. Have a processed file with the required number of available fragments.
2. For validation, ensure incomplete or unavailable fragments do not allow reconstruction or decryption.
3. For the alternate case, ensure an authorised shared file is reconstructed and decrypted automatically.</x:v>
      </x:c>
      <x:c r="C101" s="14"/>
      <x:c r="D101" s="14"/>
      <x:c r="E101" s="14"/>
      <x:c r="F101" s="18"/>
      <x:c r="G101" s="14"/>
      <x:c r="H101" s="14"/>
    </x:row>
    <x:row r="102" ht="28.5" customHeight="1">
      <x:c r="A102" s="2" t="s">
        <x:v>11</x:v>
      </x:c>
      <x:c r="B102" s="14" t="str">
        <x:v>Verify automatic file reconstruction and decryption.</x:v>
      </x:c>
      <x:c r="C102" s="14"/>
      <x:c r="D102" s="14"/>
      <x:c r="E102" s="14"/>
      <x:c r="F102" s="18"/>
      <x:c r="G102" s="14"/>
      <x:c r="H102" s="14"/>
    </x:row>
    <x:row r="103" ht="15" customHeight="1">
      <x:c r="A103" s="2" t="s">
        <x:v>13</x:v>
      </x:c>
      <x:c r="B103" s="15" t="n">
        <x:f>COUNTIF(G111:G113,"Pass")</x:f>
        <x:v>3</x:v>
      </x:c>
      <x:c r="C103" s="15"/>
      <x:c r="D103" s="15"/>
      <x:c r="E103" s="15"/>
      <x:c r="F103" s="15"/>
      <x:c r="G103" s="15"/>
      <x:c r="H103" s="15"/>
    </x:row>
    <x:row r="104" ht="15" customHeight="1">
      <x:c r="A104" s="2" t="s">
        <x:v>14</x:v>
      </x:c>
      <x:c r="B104" s="15" t="n">
        <x:f>COUNTIF(G111:G113,"Fail")</x:f>
        <x:v>0</x:v>
      </x:c>
      <x:c r="C104" s="15"/>
      <x:c r="D104" s="15"/>
      <x:c r="E104" s="15"/>
      <x:c r="F104" s="15"/>
      <x:c r="G104" s="15"/>
      <x:c r="H104" s="15"/>
    </x:row>
    <x:row r="105" ht="15" customHeight="1">
      <x:c r="A105" s="2" t="s">
        <x:v>15</x:v>
      </x:c>
      <x:c r="B105" s="15" t="n">
        <x:f>COUNTIF(G111:G113,"Pending")</x:f>
        <x:v>0</x:v>
      </x:c>
      <x:c r="C105" s="15"/>
      <x:c r="D105" s="15"/>
      <x:c r="E105" s="15"/>
      <x:c r="F105" s="15"/>
      <x:c r="G105" s="15"/>
      <x:c r="H105" s="15"/>
    </x:row>
    <x:row r="106" ht="30" customHeight="1">
      <x:c r="A106" s="11" t="s">
        <x:v>16</x:v>
      </x:c>
      <x:c r="B106" s="16" t="n">
        <x:f>COUNTA(A111:A113)</x:f>
        <x:v>3</x:v>
      </x:c>
      <x:c r="C106" s="16"/>
      <x:c r="D106" s="16"/>
      <x:c r="E106" s="16"/>
      <x:c r="F106" s="16"/>
      <x:c r="G106" s="16"/>
      <x:c r="H106" s="16"/>
    </x:row>
    <x:row r="107" ht="7.5" customHeight="1">
      <x:c r="A107" s="3"/>
      <x:c r="B107" s="3"/>
      <x:c r="C107" s="3"/>
      <x:c r="D107" s="3"/>
      <x:c r="E107" s="3"/>
      <x:c r="F107" s="4"/>
      <x:c r="G107" s="3"/>
      <x:c r="H107" s="3"/>
    </x:row>
    <x:row r="108" ht="7.5" customHeight="1">
      <x:c r="A108" s="3"/>
      <x:c r="B108" s="3"/>
      <x:c r="C108" s="3"/>
      <x:c r="D108" s="3"/>
      <x:c r="E108" s="3"/>
      <x:c r="F108" s="4"/>
      <x:c r="G108" s="3"/>
      <x:c r="H108" s="3"/>
    </x:row>
    <x:row r="109" ht="24" customHeight="1">
      <x:c r="A109" s="6" t="s">
        <x:v>17</x:v>
      </x:c>
      <x:c r="B109" s="6" t="s">
        <x:v>18</x:v>
      </x:c>
      <x:c r="C109" s="6" t="s">
        <x:v>19</x:v>
      </x:c>
      <x:c r="D109" s="6" t="s">
        <x:v>20</x:v>
      </x:c>
      <x:c r="E109" s="6" t="s">
        <x:v>21</x:v>
      </x:c>
      <x:c r="F109" s="8" t="s">
        <x:v>22</x:v>
      </x:c>
      <x:c r="G109" s="6" t="s">
        <x:v>23</x:v>
      </x:c>
      <x:c r="H109" s="6" t="s">
        <x:v>24</x:v>
      </x:c>
    </x:row>
    <x:row r="110" ht="21" customHeight="1">
      <x:c r="A110" s="13" t="str">
        <x:v>Sprint 3 US27 - As a user, I want my file to be automatically reconstructed and decrypted so that I can access the original content without manual steps.</x:v>
      </x:c>
      <x:c r="B110" s="13"/>
      <x:c r="C110" s="13"/>
      <x:c r="D110" s="13"/>
      <x:c r="E110" s="13"/>
      <x:c r="F110" s="17"/>
      <x:c r="G110" s="13"/>
      <x:c r="H110" s="13"/>
    </x:row>
    <x:row r="111" ht="64.5" customHeight="1">
      <x:c r="A111" s="3" t="str">
        <x:v>TC-27-1</x:v>
      </x:c>
      <x:c r="B111" s="3" t="str">
        <x:v>Main - Automatic reconstruction and decryption</x:v>
      </x:c>
      <x:c r="C111" s="3" t="str">
        <x:v>Select Download for a processed file with the required fragments available.</x:v>
      </x:c>
      <x:c r="D111" s="3" t="str">
        <x:v>The file is reconstructed and decrypted automatically.</x:v>
      </x:c>
      <x:c r="E111" s="3" t="str">
        <x:v>Lazarus displayed ("File decrypted and downloaded successfully.").</x:v>
      </x:c>
      <x:c r="F111" s="7">
        <x:v>46205</x:v>
      </x:c>
      <x:c r="G111" s="5" t="s">
        <x:v>13</x:v>
      </x:c>
      <x:c r="H111" s="3" t="str">
        <x:v>Confirmed automatic reconstruction and decryption.</x:v>
      </x:c>
    </x:row>
    <x:row r="112" ht="64.5" customHeight="1">
      <x:c r="A112" s="3" t="str">
        <x:v>TC-27-2</x:v>
      </x:c>
      <x:c r="B112" s="3" t="str">
        <x:v>Validation - Required fragments unavailable</x:v>
      </x:c>
      <x:c r="C112" s="3" t="str">
        <x:v>Attempt the download when the required fragment data is incomplete or unavailable.</x:v>
      </x:c>
      <x:c r="D112" s="3" t="str">
        <x:v>The system does not reconstruct, decrypt, or expose the complete file.</x:v>
      </x:c>
      <x:c r="E112" s="3" t="str">
        <x:v>The failed-processing run did not display a reconstructed or decrypted download.</x:v>
      </x:c>
      <x:c r="F112" s="7">
        <x:v>46205</x:v>
      </x:c>
      <x:c r="G112" s="5" t="s">
        <x:v>13</x:v>
      </x:c>
      <x:c r="H112" s="3" t="str">
        <x:v>Confirmed incomplete fragment data did not expose the complete file.</x:v>
      </x:c>
    </x:row>
    <x:row r="113" ht="64.5" customHeight="1">
      <x:c r="A113" s="3" t="str">
        <x:v>TC-27-3</x:v>
      </x:c>
      <x:c r="B113" s="3" t="str">
        <x:v>Alternate - Authorised shared-file recovery</x:v>
      </x:c>
      <x:c r="C113" s="3" t="str">
        <x:v>Open a valid recipient link whose fragments meet the reconstruction threshold.</x:v>
      </x:c>
      <x:c r="D113" s="3" t="str">
        <x:v>The authorised shared file is reconstructed and decrypted automatically.</x:v>
      </x:c>
      <x:c r="E113" s="3" t="str">
        <x:v>The page displayed ("System reconstructed the file, decrypted it, and prepared it for download.").</x:v>
      </x:c>
      <x:c r="F113" s="7">
        <x:v>46205</x:v>
      </x:c>
      <x:c r="G113" s="5" t="s">
        <x:v>13</x:v>
      </x:c>
      <x:c r="H113" s="3" t="str">
        <x:v>Repeated through the authorised recipient access page.</x:v>
      </x:c>
    </x:row>
    <x:row r="114" ht="18" customHeight="1">
      <x:c r="F114" s="1"/>
    </x:row>
    <x:row r="115" ht="18" customHeight="1">
      <x:c r="A115" s="13" t="str">
        <x:v>TC-28 - As a user, I want to share a file with another user via a link so that they can download it securely.</x:v>
      </x:c>
      <x:c r="B115" s="13"/>
      <x:c r="C115" s="13"/>
      <x:c r="D115" s="13"/>
      <x:c r="E115" s="13"/>
      <x:c r="F115" s="17"/>
      <x:c r="G115" s="13"/>
      <x:c r="H115" s="13"/>
    </x:row>
    <x:row r="116" ht="15" customHeight="1">
      <x:c r="A116" s="2" t="str">
        <x:v>System Name</x:v>
      </x:c>
      <x:c r="B116" s="14" t="str">
        <x:v>Lazarus</x:v>
      </x:c>
      <x:c r="C116" s="14"/>
      <x:c r="D116" s="14"/>
      <x:c r="E116" s="14"/>
      <x:c r="F116" s="18"/>
      <x:c r="G116" s="14"/>
      <x:c r="H116" s="14"/>
    </x:row>
    <x:row r="117" ht="15" customHeight="1">
      <x:c r="A117" s="2" t="str">
        <x:v>Module Code</x:v>
      </x:c>
      <x:c r="B117" s="14" t="str">
        <x:v>CSIT321</x:v>
      </x:c>
      <x:c r="C117" s="14"/>
      <x:c r="D117" s="14"/>
      <x:c r="E117" s="14"/>
      <x:c r="F117" s="18"/>
      <x:c r="G117" s="14"/>
      <x:c r="H117" s="14"/>
    </x:row>
    <x:row r="118" ht="25.5" customHeight="1">
      <x:c r="A118" s="2" t="str">
        <x:v>User Story</x:v>
      </x:c>
      <x:c r="B118" s="14" t="str">
        <x:v>28. As a user, I want to share a file with another user via a link so that they can download it securely.</x:v>
      </x:c>
      <x:c r="C118" s="14"/>
      <x:c r="D118" s="14"/>
      <x:c r="E118" s="14"/>
      <x:c r="F118" s="18"/>
      <x:c r="G118" s="14"/>
      <x:c r="H118" s="14"/>
    </x:row>
    <x:row r="119" ht="70.5" customHeight="1">
      <x:c r="A119" s="2" t="str">
        <x:v>Preconditions</x:v>
      </x:c>
      <x:c r="B119"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119" s="14"/>
      <x:c r="D119" s="14"/>
      <x:c r="E119" s="14"/>
      <x:c r="F119" s="18"/>
      <x:c r="G119" s="14"/>
      <x:c r="H119" s="14"/>
    </x:row>
    <x:row r="120" ht="63" customHeight="1">
      <x:c r="A120" s="2" t="str">
        <x:v>Test Requirement</x:v>
      </x:c>
      <x:c r="B120" s="14" t="str">
        <x:v>1. Have a processed file and an active recipient account.
2. For validation, ensure the form cannot create a link without a recipient email.
3. For the alternate case, ensure a one-time secure link can also be created.</x:v>
      </x:c>
      <x:c r="C120" s="14"/>
      <x:c r="D120" s="14"/>
      <x:c r="E120" s="14"/>
      <x:c r="F120" s="18"/>
      <x:c r="G120" s="14"/>
      <x:c r="H120" s="14"/>
    </x:row>
    <x:row r="121" ht="28.5" customHeight="1">
      <x:c r="A121" s="2" t="str">
        <x:v>Purpose</x:v>
      </x:c>
      <x:c r="B121" s="14" t="str">
        <x:v>Verify secure-link creation for a recipient.</x:v>
      </x:c>
      <x:c r="C121" s="14"/>
      <x:c r="D121" s="14"/>
      <x:c r="E121" s="14"/>
      <x:c r="F121" s="18"/>
      <x:c r="G121" s="14"/>
      <x:c r="H121" s="14"/>
    </x:row>
    <x:row r="122" ht="15" customHeight="1">
      <x:c r="A122" s="2" t="str">
        <x:v>Pass</x:v>
      </x:c>
      <x:c r="B122" s="15" t="n">
        <x:v>3</x:v>
      </x:c>
      <x:c r="C122" s="15"/>
      <x:c r="D122" s="15"/>
      <x:c r="E122" s="15"/>
      <x:c r="F122" s="15"/>
      <x:c r="G122" s="15"/>
      <x:c r="H122" s="15"/>
    </x:row>
    <x:row r="123" ht="15" customHeight="1">
      <x:c r="A123" s="2" t="str">
        <x:v>Fail</x:v>
      </x:c>
      <x:c r="B123" s="15" t="n">
        <x:v>0</x:v>
      </x:c>
      <x:c r="C123" s="15"/>
      <x:c r="D123" s="15"/>
      <x:c r="E123" s="15"/>
      <x:c r="F123" s="15"/>
      <x:c r="G123" s="15"/>
      <x:c r="H123" s="15"/>
    </x:row>
    <x:row r="124" ht="15" customHeight="1">
      <x:c r="A124" s="2" t="str">
        <x:v>Pending</x:v>
      </x:c>
      <x:c r="B124" s="15" t="n">
        <x:v>0</x:v>
      </x:c>
      <x:c r="C124" s="15"/>
      <x:c r="D124" s="15"/>
      <x:c r="E124" s="15"/>
      <x:c r="F124" s="15"/>
      <x:c r="G124" s="15"/>
      <x:c r="H124" s="15"/>
    </x:row>
    <x:row r="125" ht="30" customHeight="1">
      <x:c r="A125" s="11" t="str">
        <x:v>Number of test cases</x:v>
      </x:c>
      <x:c r="B125" s="16" t="n">
        <x:v>3</x:v>
      </x:c>
      <x:c r="C125" s="16"/>
      <x:c r="D125" s="16"/>
      <x:c r="E125" s="16"/>
      <x:c r="F125" s="16"/>
      <x:c r="G125" s="16"/>
      <x:c r="H125" s="16"/>
    </x:row>
    <x:row r="126" ht="7.5" customHeight="1">
      <x:c r="A126" s="3"/>
      <x:c r="B126" s="3"/>
      <x:c r="C126" s="3"/>
      <x:c r="D126" s="3"/>
      <x:c r="E126" s="3"/>
      <x:c r="F126" s="4"/>
      <x:c r="G126" s="3"/>
      <x:c r="H126" s="3"/>
    </x:row>
    <x:row r="127" ht="7.5" customHeight="1">
      <x:c r="A127" s="3"/>
      <x:c r="B127" s="3"/>
      <x:c r="C127" s="3"/>
      <x:c r="D127" s="3"/>
      <x:c r="E127" s="3"/>
      <x:c r="F127" s="4"/>
      <x:c r="G127" s="3"/>
      <x:c r="H127" s="3"/>
    </x:row>
    <x:row r="128" ht="24" customHeight="1">
      <x:c r="A128" s="6" t="str">
        <x:v>ID</x:v>
      </x:c>
      <x:c r="B128" s="6" t="str">
        <x:v>Test Case Description</x:v>
      </x:c>
      <x:c r="C128" s="6" t="str">
        <x:v>Test Case Procedure</x:v>
      </x:c>
      <x:c r="D128" s="6" t="str">
        <x:v>Expected Output</x:v>
      </x:c>
      <x:c r="E128" s="6" t="str">
        <x:v>Actual Output</x:v>
      </x:c>
      <x:c r="F128" s="8" t="str">
        <x:v>Test Date</x:v>
      </x:c>
      <x:c r="G128" s="6" t="str">
        <x:v>Result</x:v>
      </x:c>
      <x:c r="H128" s="6" t="str">
        <x:v>Note</x:v>
      </x:c>
    </x:row>
    <x:row r="129" ht="21" customHeight="1">
      <x:c r="A129" s="13" t="str">
        <x:v>Sprint 3 US28 - As a user, I want to share a file with another user via a link so that they can download it securely.</x:v>
      </x:c>
      <x:c r="B129" s="13"/>
      <x:c r="C129" s="13"/>
      <x:c r="D129" s="13"/>
      <x:c r="E129" s="13"/>
      <x:c r="F129" s="17"/>
      <x:c r="G129" s="13"/>
      <x:c r="H129" s="13"/>
    </x:row>
    <x:row r="130" ht="64.5" customHeight="1">
      <x:c r="A130" s="3" t="str">
        <x:v>TC-28-1</x:v>
      </x:c>
      <x:c r="B130" s="3" t="str">
        <x:v>Main - Secure link</x:v>
      </x:c>
      <x:c r="C130" s="3" t="str">
        <x:v>Share sprint3_browser_file.txt with john@example.com for 24 hours.</x:v>
      </x:c>
      <x:c r="D130" s="3" t="str">
        <x:v>A secure link is created.</x:v>
      </x:c>
      <x:c r="E130" s="3" t="str">
        <x:v>The page displayed ("Secure link created.") and an http://127.0.0.1:5000/share/... link.</x:v>
      </x:c>
      <x:c r="F130" s="7" t="n">
        <x:v>46210</x:v>
      </x:c>
      <x:c r="G130" s="5" t="str">
        <x:v>Pass</x:v>
      </x:c>
      <x:c r="H130" s="3" t="str">
        <x:v>Created a secure link for john@example.com.</x:v>
      </x:c>
    </x:row>
    <x:row r="131" ht="64.5" customHeight="1">
      <x:c r="A131" s="3" t="str">
        <x:v>TC-28-2</x:v>
      </x:c>
      <x:c r="B131" s="3" t="str">
        <x:v>Validation - Missing recipient</x:v>
      </x:c>
      <x:c r="C131" s="3" t="str">
        <x:v>Leave Recipient Email empty and submit.</x:v>
      </x:c>
      <x:c r="D131" s="3" t="str">
        <x:v>The required field prevents link creation.</x:v>
      </x:c>
      <x:c r="E131" s="3" t="str">
        <x:v>No secure-link success message or new row was created while Recipient Email was empty.</x:v>
      </x:c>
      <x:c r="F131" s="7" t="n">
        <x:v>46210</x:v>
      </x:c>
      <x:c r="G131" s="5" t="str">
        <x:v>Pass</x:v>
      </x:c>
      <x:c r="H131" s="3" t="str">
        <x:v>Confirmed no share row was added without a recipient.</x:v>
      </x:c>
    </x:row>
    <x:row r="132" ht="64.5" customHeight="1">
      <x:c r="A132" s="3" t="str">
        <x:v>TC-28-3</x:v>
      </x:c>
      <x:c r="B132" s="3" t="str">
        <x:v>Alternate - One-time link</x:v>
      </x:c>
      <x:c r="C132" s="3" t="str">
        <x:v>Select One-time link and create a two-hour link.</x:v>
      </x:c>
      <x:c r="D132" s="3" t="str">
        <x:v>The row records One-Time as Yes.</x:v>
      </x:c>
      <x:c r="E132" s="3" t="str">
        <x:v>The share row displayed Active, ("Yes"), and the expiry time.</x:v>
      </x:c>
      <x:c r="F132" s="7" t="n">
        <x:v>46210</x:v>
      </x:c>
      <x:c r="G132" s="5" t="str">
        <x:v>Pass</x:v>
      </x:c>
      <x:c r="H132" s="3" t="str">
        <x:v>Created a separate two-hour one-time link.</x:v>
      </x:c>
    </x:row>
    <x:row r="133" ht="18" customHeight="1">
      <x:c r="A133"/>
      <x:c r="B133"/>
      <x:c r="C133"/>
      <x:c r="D133"/>
      <x:c r="E133"/>
      <x:c r="F133" s="1"/>
      <x:c r="G133"/>
      <x:c r="H133"/>
    </x:row>
    <x:row r="134" ht="18" customHeight="1">
      <x:c r="A134" s="13" t="str">
        <x:v>TC-29 - As a user, I want to revoke a shared link so that I can stop access at any time.</x:v>
      </x:c>
      <x:c r="B134" s="13"/>
      <x:c r="C134" s="13"/>
      <x:c r="D134" s="13"/>
      <x:c r="E134" s="13"/>
      <x:c r="F134" s="17"/>
      <x:c r="G134" s="13"/>
      <x:c r="H134" s="13"/>
    </x:row>
    <x:row r="135" ht="15" customHeight="1">
      <x:c r="A135" s="2" t="str">
        <x:v>System Name</x:v>
      </x:c>
      <x:c r="B135" s="14" t="str">
        <x:v>Lazarus</x:v>
      </x:c>
      <x:c r="C135" s="14"/>
      <x:c r="D135" s="14"/>
      <x:c r="E135" s="14"/>
      <x:c r="F135" s="18"/>
      <x:c r="G135" s="14"/>
      <x:c r="H135" s="14"/>
    </x:row>
    <x:row r="136" ht="15" customHeight="1">
      <x:c r="A136" s="2" t="str">
        <x:v>Module Code</x:v>
      </x:c>
      <x:c r="B136" s="14" t="str">
        <x:v>CSIT321</x:v>
      </x:c>
      <x:c r="C136" s="14"/>
      <x:c r="D136" s="14"/>
      <x:c r="E136" s="14"/>
      <x:c r="F136" s="18"/>
      <x:c r="G136" s="14"/>
      <x:c r="H136" s="14"/>
    </x:row>
    <x:row r="137" ht="25.5" customHeight="1">
      <x:c r="A137" s="2" t="str">
        <x:v>User Story</x:v>
      </x:c>
      <x:c r="B137" s="14" t="str">
        <x:v>29. As a user, I want to revoke a shared link so that I can stop access at any time.</x:v>
      </x:c>
      <x:c r="C137" s="14"/>
      <x:c r="D137" s="14"/>
      <x:c r="E137" s="14"/>
      <x:c r="F137" s="18"/>
      <x:c r="G137" s="14"/>
      <x:c r="H137" s="14"/>
    </x:row>
    <x:row r="138" ht="70.5" customHeight="1">
      <x:c r="A138" s="2" t="str">
        <x:v>Preconditions</x:v>
      </x:c>
      <x:c r="B138"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138" s="14"/>
      <x:c r="D138" s="14"/>
      <x:c r="E138" s="14"/>
      <x:c r="F138" s="18"/>
      <x:c r="G138" s="14"/>
      <x:c r="H138" s="14"/>
    </x:row>
    <x:row r="139" ht="63" customHeight="1">
      <x:c r="A139" s="2" t="str">
        <x:v>Test Requirement</x:v>
      </x:c>
      <x:c r="B139" s="14" t="str">
        <x:v>1. Have an active share link owned by the logged-in user.
2. For validation, ensure the recipient cannot use a revoked link.
3. For the alternate case, ensure a revoked row offers link regeneration instead of another revoke.</x:v>
      </x:c>
      <x:c r="C139" s="14"/>
      <x:c r="D139" s="14"/>
      <x:c r="E139" s="14"/>
      <x:c r="F139" s="18"/>
      <x:c r="G139" s="14"/>
      <x:c r="H139" s="14"/>
    </x:row>
    <x:row r="140" ht="28.5" customHeight="1">
      <x:c r="A140" s="2" t="str">
        <x:v>Purpose</x:v>
      </x:c>
      <x:c r="B140" s="14" t="str">
        <x:v>Verify immediate link revocation.</x:v>
      </x:c>
      <x:c r="C140" s="14"/>
      <x:c r="D140" s="14"/>
      <x:c r="E140" s="14"/>
      <x:c r="F140" s="18"/>
      <x:c r="G140" s="14"/>
      <x:c r="H140" s="14"/>
    </x:row>
    <x:row r="141" ht="15" customHeight="1">
      <x:c r="A141" s="2" t="str">
        <x:v>Pass</x:v>
      </x:c>
      <x:c r="B141" s="15" t="n">
        <x:v>3</x:v>
      </x:c>
      <x:c r="C141" s="15"/>
      <x:c r="D141" s="15"/>
      <x:c r="E141" s="15"/>
      <x:c r="F141" s="15"/>
      <x:c r="G141" s="15"/>
      <x:c r="H141" s="15"/>
    </x:row>
    <x:row r="142" ht="15" customHeight="1">
      <x:c r="A142" s="2" t="str">
        <x:v>Fail</x:v>
      </x:c>
      <x:c r="B142" s="15" t="n">
        <x:v>0</x:v>
      </x:c>
      <x:c r="C142" s="15"/>
      <x:c r="D142" s="15"/>
      <x:c r="E142" s="15"/>
      <x:c r="F142" s="15"/>
      <x:c r="G142" s="15"/>
      <x:c r="H142" s="15"/>
    </x:row>
    <x:row r="143" ht="15" customHeight="1">
      <x:c r="A143" s="2" t="str">
        <x:v>Pending</x:v>
      </x:c>
      <x:c r="B143" s="15" t="n">
        <x:v>0</x:v>
      </x:c>
      <x:c r="C143" s="15"/>
      <x:c r="D143" s="15"/>
      <x:c r="E143" s="15"/>
      <x:c r="F143" s="15"/>
      <x:c r="G143" s="15"/>
      <x:c r="H143" s="15"/>
    </x:row>
    <x:row r="144" ht="30" customHeight="1">
      <x:c r="A144" s="11" t="str">
        <x:v>Number of test cases</x:v>
      </x:c>
      <x:c r="B144" s="16" t="n">
        <x:v>3</x:v>
      </x:c>
      <x:c r="C144" s="16"/>
      <x:c r="D144" s="16"/>
      <x:c r="E144" s="16"/>
      <x:c r="F144" s="16"/>
      <x:c r="G144" s="16"/>
      <x:c r="H144" s="16"/>
    </x:row>
    <x:row r="145" ht="7.5" customHeight="1">
      <x:c r="A145" s="3"/>
      <x:c r="B145" s="3"/>
      <x:c r="C145" s="3"/>
      <x:c r="D145" s="3"/>
      <x:c r="E145" s="3"/>
      <x:c r="F145" s="4"/>
      <x:c r="G145" s="3"/>
      <x:c r="H145" s="3"/>
    </x:row>
    <x:row r="146" ht="7.5" customHeight="1">
      <x:c r="A146" s="3"/>
      <x:c r="B146" s="3"/>
      <x:c r="C146" s="3"/>
      <x:c r="D146" s="3"/>
      <x:c r="E146" s="3"/>
      <x:c r="F146" s="4"/>
      <x:c r="G146" s="3"/>
      <x:c r="H146" s="3"/>
    </x:row>
    <x:row r="147" ht="24" customHeight="1">
      <x:c r="A147" s="6" t="str">
        <x:v>ID</x:v>
      </x:c>
      <x:c r="B147" s="6" t="str">
        <x:v>Test Case Description</x:v>
      </x:c>
      <x:c r="C147" s="6" t="str">
        <x:v>Test Case Procedure</x:v>
      </x:c>
      <x:c r="D147" s="6" t="str">
        <x:v>Expected Output</x:v>
      </x:c>
      <x:c r="E147" s="6" t="str">
        <x:v>Actual Output</x:v>
      </x:c>
      <x:c r="F147" s="8" t="str">
        <x:v>Test Date</x:v>
      </x:c>
      <x:c r="G147" s="6" t="str">
        <x:v>Result</x:v>
      </x:c>
      <x:c r="H147" s="6" t="str">
        <x:v>Note</x:v>
      </x:c>
    </x:row>
    <x:row r="148" ht="21" customHeight="1">
      <x:c r="A148" s="13" t="str">
        <x:v>Sprint 3 US29 - As a user, I want to revoke a shared link so that I can stop access at any time.</x:v>
      </x:c>
      <x:c r="B148" s="13"/>
      <x:c r="C148" s="13"/>
      <x:c r="D148" s="13"/>
      <x:c r="E148" s="13"/>
      <x:c r="F148" s="17"/>
      <x:c r="G148" s="13"/>
      <x:c r="H148" s="13"/>
    </x:row>
    <x:row r="149" ht="64.5" customHeight="1">
      <x:c r="A149" s="3" t="str">
        <x:v>TC-29-1</x:v>
      </x:c>
      <x:c r="B149" s="3" t="str">
        <x:v>Main - Revoke link</x:v>
      </x:c>
      <x:c r="C149" s="3" t="str">
        <x:v>Select Revoke Link for the active non-one-time share.</x:v>
      </x:c>
      <x:c r="D149" s="3" t="str">
        <x:v>Status changes to Revoked.</x:v>
      </x:c>
      <x:c r="E149" s="3" t="str">
        <x:v>The page displayed ("Link revoked.") and the row changed to Revoked.</x:v>
      </x:c>
      <x:c r="F149" s="7" t="n">
        <x:v>46213</x:v>
      </x:c>
      <x:c r="G149" s="5" t="str">
        <x:v>Pass</x:v>
      </x:c>
      <x:c r="H149" s="3" t="str">
        <x:v>Revoked only the disposable share link.</x:v>
      </x:c>
    </x:row>
    <x:row r="150" ht="64.5" customHeight="1">
      <x:c r="A150" s="3" t="str">
        <x:v>TC-29-2</x:v>
      </x:c>
      <x:c r="B150" s="3" t="str">
        <x:v>Validation - Access revoked link</x:v>
      </x:c>
      <x:c r="C150" s="3" t="str">
        <x:v>As johnsmith, open the revoked URL.</x:v>
      </x:c>
      <x:c r="D150" s="3" t="str">
        <x:v>Access is denied.</x:v>
      </x:c>
      <x:c r="E150" s="3" t="str">
        <x:v>The page displayed ("Link revoked.") and ("Access could not be granted for this shared link.").</x:v>
      </x:c>
      <x:c r="F150" s="7" t="n">
        <x:v>46213</x:v>
      </x:c>
      <x:c r="G150" s="5" t="str">
        <x:v>Pass</x:v>
      </x:c>
      <x:c r="H150" s="3" t="str">
        <x:v>Retested the same URL as johnsmith.</x:v>
      </x:c>
    </x:row>
    <x:row r="151" ht="64.5" customHeight="1">
      <x:c r="A151" s="3" t="str">
        <x:v>TC-29-3</x:v>
      </x:c>
      <x:c r="B151" s="3" t="str">
        <x:v>Alternate - Regeneration available</x:v>
      </x:c>
      <x:c r="C151" s="3" t="str">
        <x:v>Inspect the revoked row.</x:v>
      </x:c>
      <x:c r="D151" s="3" t="str">
        <x:v>Generate New Link is available.</x:v>
      </x:c>
      <x:c r="E151" s="3" t="str">
        <x:v>The revoked row displayed ("Generate New Link") instead of Revoke Link.</x:v>
      </x:c>
      <x:c r="F151" s="7" t="n">
        <x:v>46213</x:v>
      </x:c>
      <x:c r="G151" s="5" t="str">
        <x:v>Pass</x:v>
      </x:c>
      <x:c r="H151" s="3" t="str">
        <x:v>Confirmed regeneration replaced the revoke action.</x:v>
      </x:c>
    </x:row>
    <x:row r="152" ht="18" customHeight="1">
      <x:c r="A152"/>
      <x:c r="B152"/>
      <x:c r="C152"/>
      <x:c r="D152"/>
      <x:c r="E152"/>
      <x:c r="F152" s="1"/>
      <x:c r="G152"/>
      <x:c r="H152"/>
    </x:row>
    <x:row r="153" ht="18" customHeight="1">
      <x:c r="A153" s="13" t="str">
        <x:v>TC-30 - As a user, I want to see who I have shared a file with so that I can manage access.</x:v>
      </x:c>
      <x:c r="B153" s="13"/>
      <x:c r="C153" s="13"/>
      <x:c r="D153" s="13"/>
      <x:c r="E153" s="13"/>
      <x:c r="F153" s="17"/>
      <x:c r="G153" s="13"/>
      <x:c r="H153" s="13"/>
    </x:row>
    <x:row r="154" ht="15" customHeight="1">
      <x:c r="A154" s="2" t="str">
        <x:v>System Name</x:v>
      </x:c>
      <x:c r="B154" s="14" t="str">
        <x:v>Lazarus</x:v>
      </x:c>
      <x:c r="C154" s="14"/>
      <x:c r="D154" s="14"/>
      <x:c r="E154" s="14"/>
      <x:c r="F154" s="18"/>
      <x:c r="G154" s="14"/>
      <x:c r="H154" s="14"/>
    </x:row>
    <x:row r="155" ht="15" customHeight="1">
      <x:c r="A155" s="2" t="str">
        <x:v>Module Code</x:v>
      </x:c>
      <x:c r="B155" s="14" t="str">
        <x:v>CSIT321</x:v>
      </x:c>
      <x:c r="C155" s="14"/>
      <x:c r="D155" s="14"/>
      <x:c r="E155" s="14"/>
      <x:c r="F155" s="18"/>
      <x:c r="G155" s="14"/>
      <x:c r="H155" s="14"/>
    </x:row>
    <x:row r="156" ht="25.5" customHeight="1">
      <x:c r="A156" s="2" t="str">
        <x:v>User Story</x:v>
      </x:c>
      <x:c r="B156" s="14" t="str">
        <x:v>30. As a user, I want to see who I have shared a file with so that I can manage access.</x:v>
      </x:c>
      <x:c r="C156" s="14"/>
      <x:c r="D156" s="14"/>
      <x:c r="E156" s="14"/>
      <x:c r="F156" s="18"/>
      <x:c r="G156" s="14"/>
      <x:c r="H156" s="14"/>
    </x:row>
    <x:row r="157" ht="70.5" customHeight="1">
      <x:c r="A157" s="2" t="str">
        <x:v>Preconditions</x:v>
      </x:c>
      <x:c r="B157"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157" s="14"/>
      <x:c r="D157" s="14"/>
      <x:c r="E157" s="14"/>
      <x:c r="F157" s="18"/>
      <x:c r="G157" s="14"/>
      <x:c r="H157" s="14"/>
    </x:row>
    <x:row r="158" ht="63" customHeight="1">
      <x:c r="A158" s="2" t="str">
        <x:v>Test Requirement</x:v>
      </x:c>
      <x:c r="B158" s="14" t="str">
        <x:v>1. Have at least one share record for the selected file.
2. For validation, ensure another file's recipients are not mixed into the selected file view.
3. For the alternate case, ensure status, one-time, expiry, and shared date are displayed.</x:v>
      </x:c>
      <x:c r="C158" s="14"/>
      <x:c r="D158" s="14"/>
      <x:c r="E158" s="14"/>
      <x:c r="F158" s="18"/>
      <x:c r="G158" s="14"/>
      <x:c r="H158" s="14"/>
    </x:row>
    <x:row r="159" ht="28.5" customHeight="1">
      <x:c r="A159" s="2" t="str">
        <x:v>Purpose</x:v>
      </x:c>
      <x:c r="B159" s="14" t="str">
        <x:v>Verify recipient-history visibility.</x:v>
      </x:c>
      <x:c r="C159" s="14"/>
      <x:c r="D159" s="14"/>
      <x:c r="E159" s="14"/>
      <x:c r="F159" s="18"/>
      <x:c r="G159" s="14"/>
      <x:c r="H159" s="14"/>
    </x:row>
    <x:row r="160" ht="15" customHeight="1">
      <x:c r="A160" s="2" t="str">
        <x:v>Pass</x:v>
      </x:c>
      <x:c r="B160" s="15" t="n">
        <x:v>3</x:v>
      </x:c>
      <x:c r="C160" s="15"/>
      <x:c r="D160" s="15"/>
      <x:c r="E160" s="15"/>
      <x:c r="F160" s="15"/>
      <x:c r="G160" s="15"/>
      <x:c r="H160" s="15"/>
    </x:row>
    <x:row r="161" ht="15" customHeight="1">
      <x:c r="A161" s="2" t="str">
        <x:v>Fail</x:v>
      </x:c>
      <x:c r="B161" s="15" t="n">
        <x:v>0</x:v>
      </x:c>
      <x:c r="C161" s="15"/>
      <x:c r="D161" s="15"/>
      <x:c r="E161" s="15"/>
      <x:c r="F161" s="15"/>
      <x:c r="G161" s="15"/>
      <x:c r="H161" s="15"/>
    </x:row>
    <x:row r="162" ht="15" customHeight="1">
      <x:c r="A162" s="2" t="str">
        <x:v>Pending</x:v>
      </x:c>
      <x:c r="B162" s="15" t="n">
        <x:v>0</x:v>
      </x:c>
      <x:c r="C162" s="15"/>
      <x:c r="D162" s="15"/>
      <x:c r="E162" s="15"/>
      <x:c r="F162" s="15"/>
      <x:c r="G162" s="15"/>
      <x:c r="H162" s="15"/>
    </x:row>
    <x:row r="163" ht="30" customHeight="1">
      <x:c r="A163" s="11" t="str">
        <x:v>Number of test cases</x:v>
      </x:c>
      <x:c r="B163" s="16" t="n">
        <x:v>3</x:v>
      </x:c>
      <x:c r="C163" s="16"/>
      <x:c r="D163" s="16"/>
      <x:c r="E163" s="16"/>
      <x:c r="F163" s="16"/>
      <x:c r="G163" s="16"/>
      <x:c r="H163" s="16"/>
    </x:row>
    <x:row r="164" ht="7.5" customHeight="1">
      <x:c r="A164" s="3"/>
      <x:c r="B164" s="3"/>
      <x:c r="C164" s="3"/>
      <x:c r="D164" s="3"/>
      <x:c r="E164" s="3"/>
      <x:c r="F164" s="4"/>
      <x:c r="G164" s="3"/>
      <x:c r="H164" s="3"/>
    </x:row>
    <x:row r="165" ht="7.5" customHeight="1">
      <x:c r="A165" s="3"/>
      <x:c r="B165" s="3"/>
      <x:c r="C165" s="3"/>
      <x:c r="D165" s="3"/>
      <x:c r="E165" s="3"/>
      <x:c r="F165" s="4"/>
      <x:c r="G165" s="3"/>
      <x:c r="H165" s="3"/>
    </x:row>
    <x:row r="166" ht="24" customHeight="1">
      <x:c r="A166" s="6" t="str">
        <x:v>ID</x:v>
      </x:c>
      <x:c r="B166" s="6" t="str">
        <x:v>Test Case Description</x:v>
      </x:c>
      <x:c r="C166" s="6" t="str">
        <x:v>Test Case Procedure</x:v>
      </x:c>
      <x:c r="D166" s="6" t="str">
        <x:v>Expected Output</x:v>
      </x:c>
      <x:c r="E166" s="6" t="str">
        <x:v>Actual Output</x:v>
      </x:c>
      <x:c r="F166" s="8" t="str">
        <x:v>Test Date</x:v>
      </x:c>
      <x:c r="G166" s="6" t="str">
        <x:v>Result</x:v>
      </x:c>
      <x:c r="H166" s="6" t="str">
        <x:v>Note</x:v>
      </x:c>
    </x:row>
    <x:row r="167" ht="21" customHeight="1">
      <x:c r="A167" s="13" t="str">
        <x:v>Sprint 3 US30 - As a user, I want to see who I have shared a file with so that I can manage access.</x:v>
      </x:c>
      <x:c r="B167" s="13"/>
      <x:c r="C167" s="13"/>
      <x:c r="D167" s="13"/>
      <x:c r="E167" s="13"/>
      <x:c r="F167" s="17"/>
      <x:c r="G167" s="13"/>
      <x:c r="H167" s="13"/>
    </x:row>
    <x:row r="168" ht="64.5" customHeight="1">
      <x:c r="A168" s="3" t="str">
        <x:v>TC-30-1</x:v>
      </x:c>
      <x:c r="B168" s="3" t="str">
        <x:v>Main - View recipient</x:v>
      </x:c>
      <x:c r="C168" s="3" t="str">
        <x:v>Open Shared Users for sprint3_browser_file.txt.</x:v>
      </x:c>
      <x:c r="D168" s="3" t="str">
        <x:v>The recipient account is listed.</x:v>
      </x:c>
      <x:c r="E168" s="3" t="str">
        <x:v>The table displayed johnsmith and john@example.com.</x:v>
      </x:c>
      <x:c r="F168" s="7" t="n">
        <x:v>46215</x:v>
      </x:c>
      <x:c r="G168" s="5" t="str">
        <x:v>Pass</x:v>
      </x:c>
      <x:c r="H168" s="3" t="str">
        <x:v>Opened Shared Users for the disposable file.</x:v>
      </x:c>
    </x:row>
    <x:row r="169" ht="64.5" customHeight="1">
      <x:c r="A169" s="3" t="str">
        <x:v>TC-30-2</x:v>
      </x:c>
      <x:c r="B169" s="3" t="str">
        <x:v>Validation - File-specific list</x:v>
      </x:c>
      <x:c r="C169" s="3" t="str">
        <x:v>Inspect the selected file's Shared Users table.</x:v>
      </x:c>
      <x:c r="D169" s="3" t="str">
        <x:v>Only recipients for that file are shown.</x:v>
      </x:c>
      <x:c r="E169" s="3" t="str">
        <x:v>The page was scoped to sprint3_browser_file.txt and did not mix browser_test_upload.txt rows.</x:v>
      </x:c>
      <x:c r="F169" s="7" t="n">
        <x:v>46215</x:v>
      </x:c>
      <x:c r="G169" s="5" t="str">
        <x:v>Pass</x:v>
      </x:c>
      <x:c r="H169" s="3" t="str">
        <x:v>Compared the file-specific recipient list.</x:v>
      </x:c>
    </x:row>
    <x:row r="170" ht="64.5" customHeight="1">
      <x:c r="A170" s="3" t="str">
        <x:v>TC-30-3</x:v>
      </x:c>
      <x:c r="B170" s="3" t="str">
        <x:v>Alternate - Access details</x:v>
      </x:c>
      <x:c r="C170" s="3" t="str">
        <x:v>Inspect all columns for johnsmith.</x:v>
      </x:c>
      <x:c r="D170" s="3" t="str">
        <x:v>Account, status, one-time, expiry, and shared date are visible.</x:v>
      </x:c>
      <x:c r="E170" s="3" t="str">
        <x:v>The row displayed Active account, Active link, Yes, expiry 2026-08-07 18:02, and Shared At 2026-08-07 16:02.</x:v>
      </x:c>
      <x:c r="F170" s="7" t="n">
        <x:v>46215</x:v>
      </x:c>
      <x:c r="G170" s="5" t="str">
        <x:v>Pass</x:v>
      </x:c>
      <x:c r="H170" s="3" t="str">
        <x:v>Reviewed status, expiry, and shared-at columns.</x:v>
      </x:c>
    </x:row>
    <x:row r="171" ht="18" customHeight="1">
      <x:c r="A171"/>
      <x:c r="B171"/>
      <x:c r="C171"/>
      <x:c r="D171"/>
      <x:c r="E171"/>
      <x:c r="F171" s="1"/>
      <x:c r="G171"/>
      <x:c r="H171"/>
    </x:row>
    <x:row r="172" ht="18" customHeight="1">
      <x:c r="A172" s="13" t="str">
        <x:v>TC-31 - As a user, I want a shared link to be usable only once so that the file cannot be accessed multiple times.</x:v>
      </x:c>
      <x:c r="B172" s="13"/>
      <x:c r="C172" s="13"/>
      <x:c r="D172" s="13"/>
      <x:c r="E172" s="13"/>
      <x:c r="F172" s="17"/>
      <x:c r="G172" s="13"/>
      <x:c r="H172" s="13"/>
    </x:row>
    <x:row r="173" ht="15" customHeight="1">
      <x:c r="A173" s="2" t="str">
        <x:v>System Name</x:v>
      </x:c>
      <x:c r="B173" s="14" t="str">
        <x:v>Lazarus</x:v>
      </x:c>
      <x:c r="C173" s="14"/>
      <x:c r="D173" s="14"/>
      <x:c r="E173" s="14"/>
      <x:c r="F173" s="18"/>
      <x:c r="G173" s="14"/>
      <x:c r="H173" s="14"/>
    </x:row>
    <x:row r="174" ht="15" customHeight="1">
      <x:c r="A174" s="2" t="str">
        <x:v>Module Code</x:v>
      </x:c>
      <x:c r="B174" s="14" t="str">
        <x:v>CSIT321</x:v>
      </x:c>
      <x:c r="C174" s="14"/>
      <x:c r="D174" s="14"/>
      <x:c r="E174" s="14"/>
      <x:c r="F174" s="18"/>
      <x:c r="G174" s="14"/>
      <x:c r="H174" s="14"/>
    </x:row>
    <x:row r="175" ht="25.5" customHeight="1">
      <x:c r="A175" s="2" t="str">
        <x:v>User Story</x:v>
      </x:c>
      <x:c r="B175" s="14" t="str">
        <x:v>31. As a user, I want a shared link to be usable only once so that the file cannot be accessed multiple times.</x:v>
      </x:c>
      <x:c r="C175" s="14"/>
      <x:c r="D175" s="14"/>
      <x:c r="E175" s="14"/>
      <x:c r="F175" s="18"/>
      <x:c r="G175" s="14"/>
      <x:c r="H175" s="14"/>
    </x:row>
    <x:row r="176" ht="70.5" customHeight="1">
      <x:c r="A176" s="2" t="str">
        <x:v>Preconditions</x:v>
      </x:c>
      <x:c r="B176"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176" s="14"/>
      <x:c r="D176" s="14"/>
      <x:c r="E176" s="14"/>
      <x:c r="F176" s="18"/>
      <x:c r="G176" s="14"/>
      <x:c r="H176" s="14"/>
    </x:row>
    <x:row r="177" ht="63" customHeight="1">
      <x:c r="A177" s="2" t="str">
        <x:v>Test Requirement</x:v>
      </x:c>
      <x:c r="B177" s="14" t="str">
        <x:v>1. Have an active one-time link assigned to the recipient.
2. For validation, ensure the same link is denied after its download is used.
3. For the alternate case, ensure the owner can see the Used status.</x:v>
      </x:c>
      <x:c r="C177" s="14"/>
      <x:c r="D177" s="14"/>
      <x:c r="E177" s="14"/>
      <x:c r="F177" s="18"/>
      <x:c r="G177" s="14"/>
      <x:c r="H177" s="14"/>
    </x:row>
    <x:row r="178" ht="28.5" customHeight="1">
      <x:c r="A178" s="2" t="str">
        <x:v>Purpose</x:v>
      </x:c>
      <x:c r="B178" s="14" t="str">
        <x:v>Verify one-time link consumption.</x:v>
      </x:c>
      <x:c r="C178" s="14"/>
      <x:c r="D178" s="14"/>
      <x:c r="E178" s="14"/>
      <x:c r="F178" s="18"/>
      <x:c r="G178" s="14"/>
      <x:c r="H178" s="14"/>
    </x:row>
    <x:row r="179" ht="15" customHeight="1">
      <x:c r="A179" s="2" t="str">
        <x:v>Pass</x:v>
      </x:c>
      <x:c r="B179" s="15" t="n">
        <x:v>3</x:v>
      </x:c>
      <x:c r="C179" s="15"/>
      <x:c r="D179" s="15"/>
      <x:c r="E179" s="15"/>
      <x:c r="F179" s="15"/>
      <x:c r="G179" s="15"/>
      <x:c r="H179" s="15"/>
    </x:row>
    <x:row r="180" ht="15" customHeight="1">
      <x:c r="A180" s="2" t="str">
        <x:v>Fail</x:v>
      </x:c>
      <x:c r="B180" s="15" t="n">
        <x:v>0</x:v>
      </x:c>
      <x:c r="C180" s="15"/>
      <x:c r="D180" s="15"/>
      <x:c r="E180" s="15"/>
      <x:c r="F180" s="15"/>
      <x:c r="G180" s="15"/>
      <x:c r="H180" s="15"/>
    </x:row>
    <x:row r="181" ht="15" customHeight="1">
      <x:c r="A181" s="2" t="str">
        <x:v>Pending</x:v>
      </x:c>
      <x:c r="B181" s="15" t="n">
        <x:v>0</x:v>
      </x:c>
      <x:c r="C181" s="15"/>
      <x:c r="D181" s="15"/>
      <x:c r="E181" s="15"/>
      <x:c r="F181" s="15"/>
      <x:c r="G181" s="15"/>
      <x:c r="H181" s="15"/>
    </x:row>
    <x:row r="182" ht="30" customHeight="1">
      <x:c r="A182" s="11" t="str">
        <x:v>Number of test cases</x:v>
      </x:c>
      <x:c r="B182" s="16" t="n">
        <x:v>3</x:v>
      </x:c>
      <x:c r="C182" s="16"/>
      <x:c r="D182" s="16"/>
      <x:c r="E182" s="16"/>
      <x:c r="F182" s="16"/>
      <x:c r="G182" s="16"/>
      <x:c r="H182" s="16"/>
    </x:row>
    <x:row r="183" ht="7.5" customHeight="1">
      <x:c r="A183" s="3"/>
      <x:c r="B183" s="3"/>
      <x:c r="C183" s="3"/>
      <x:c r="D183" s="3"/>
      <x:c r="E183" s="3"/>
      <x:c r="F183" s="4"/>
      <x:c r="G183" s="3"/>
      <x:c r="H183" s="3"/>
    </x:row>
    <x:row r="184" ht="7.5" customHeight="1">
      <x:c r="A184" s="3"/>
      <x:c r="B184" s="3"/>
      <x:c r="C184" s="3"/>
      <x:c r="D184" s="3"/>
      <x:c r="E184" s="3"/>
      <x:c r="F184" s="4"/>
      <x:c r="G184" s="3"/>
      <x:c r="H184" s="3"/>
    </x:row>
    <x:row r="185" ht="24" customHeight="1">
      <x:c r="A185" s="6" t="str">
        <x:v>ID</x:v>
      </x:c>
      <x:c r="B185" s="6" t="str">
        <x:v>Test Case Description</x:v>
      </x:c>
      <x:c r="C185" s="6" t="str">
        <x:v>Test Case Procedure</x:v>
      </x:c>
      <x:c r="D185" s="6" t="str">
        <x:v>Expected Output</x:v>
      </x:c>
      <x:c r="E185" s="6" t="str">
        <x:v>Actual Output</x:v>
      </x:c>
      <x:c r="F185" s="8" t="str">
        <x:v>Test Date</x:v>
      </x:c>
      <x:c r="G185" s="6" t="str">
        <x:v>Result</x:v>
      </x:c>
      <x:c r="H185" s="6" t="str">
        <x:v>Note</x:v>
      </x:c>
    </x:row>
    <x:row r="186" ht="21" customHeight="1">
      <x:c r="A186" s="13" t="str">
        <x:v>Sprint 3 US31 - As a user, I want a shared link to be usable only once so that the file cannot be accessed multiple times.</x:v>
      </x:c>
      <x:c r="B186" s="13"/>
      <x:c r="C186" s="13"/>
      <x:c r="D186" s="13"/>
      <x:c r="E186" s="13"/>
      <x:c r="F186" s="17"/>
      <x:c r="G186" s="13"/>
      <x:c r="H186" s="13"/>
    </x:row>
    <x:row r="187" ht="64.5" customHeight="1">
      <x:c r="A187" s="3" t="str">
        <x:v>TC-31-1</x:v>
      </x:c>
      <x:c r="B187" s="3" t="str">
        <x:v>Main - First access</x:v>
      </x:c>
      <x:c r="C187" s="3" t="str">
        <x:v>As johnsmith, open the active one-time link.</x:v>
      </x:c>
      <x:c r="D187" s="3" t="str">
        <x:v>Access is granted once.</x:v>
      </x:c>
      <x:c r="E187" s="3" t="str">
        <x:v>The page displayed ("Access granted for: sprint3_browser_file.txt") and offered Download Complete File.</x:v>
      </x:c>
      <x:c r="F187" s="7" t="n">
        <x:v>46218</x:v>
      </x:c>
      <x:c r="G187" s="5" t="str">
        <x:v>Pass</x:v>
      </x:c>
      <x:c r="H187" s="3" t="str">
        <x:v>Accessed the link once as johnsmith.</x:v>
      </x:c>
    </x:row>
    <x:row r="188" ht="64.5" customHeight="1">
      <x:c r="A188" s="3" t="str">
        <x:v>TC-31-2</x:v>
      </x:c>
      <x:c r="B188" s="3" t="str">
        <x:v>Validation - Second access</x:v>
      </x:c>
      <x:c r="C188" s="3" t="str">
        <x:v>Open the same URL again after download.</x:v>
      </x:c>
      <x:c r="D188" s="3" t="str">
        <x:v>Access is rejected with ("Link already used.").</x:v>
      </x:c>
      <x:c r="E188" s="3" t="str">
        <x:v>The page displayed ("Link already used.") and ("Access could not be granted for this shared link.").</x:v>
      </x:c>
      <x:c r="F188" s="7" t="n">
        <x:v>46218</x:v>
      </x:c>
      <x:c r="G188" s="5" t="str">
        <x:v>Pass</x:v>
      </x:c>
      <x:c r="H188" s="3" t="str">
        <x:v>Reopened the same URL after download.</x:v>
      </x:c>
    </x:row>
    <x:row r="189" ht="64.5" customHeight="1">
      <x:c r="A189" s="3" t="str">
        <x:v>TC-31-3</x:v>
      </x:c>
      <x:c r="B189" s="3" t="str">
        <x:v>Alternate - Used status</x:v>
      </x:c>
      <x:c r="C189" s="3" t="str">
        <x:v>Return to the owner's Shared Files page.</x:v>
      </x:c>
      <x:c r="D189" s="3" t="str">
        <x:v>The one-time share row is marked Used.</x:v>
      </x:c>
      <x:c r="E189" s="3" t="str">
        <x:v>The row displayed Used and Yes, with Generate New Link available.</x:v>
      </x:c>
      <x:c r="F189" s="7" t="n">
        <x:v>46218</x:v>
      </x:c>
      <x:c r="G189" s="5" t="str">
        <x:v>Pass</x:v>
      </x:c>
      <x:c r="H189" s="3" t="str">
        <x:v>Returned to the owner view to confirm Used status.</x:v>
      </x:c>
    </x:row>
    <x:row r="190" ht="18" customHeight="1">
      <x:c r="A190"/>
      <x:c r="B190"/>
      <x:c r="C190"/>
      <x:c r="D190"/>
      <x:c r="E190"/>
      <x:c r="F190" s="1"/>
      <x:c r="G190"/>
      <x:c r="H190"/>
    </x:row>
    <x:row r="191" ht="18" customHeight="1">
      <x:c r="A191" s="13" t="str">
        <x:v>TC-32 - As a user, I want to download and reconstruct a shared file only when I have valid access so that I can securely retrieve the original content on my device.</x:v>
      </x:c>
      <x:c r="B191" s="13"/>
      <x:c r="C191" s="13"/>
      <x:c r="D191" s="13"/>
      <x:c r="E191" s="13"/>
      <x:c r="F191" s="17"/>
      <x:c r="G191" s="13"/>
      <x:c r="H191" s="13"/>
    </x:row>
    <x:row r="192" ht="15" customHeight="1">
      <x:c r="A192" s="2" t="str">
        <x:v>System Name</x:v>
      </x:c>
      <x:c r="B192" s="14" t="str">
        <x:v>Lazarus</x:v>
      </x:c>
      <x:c r="C192" s="14"/>
      <x:c r="D192" s="14"/>
      <x:c r="E192" s="14"/>
      <x:c r="F192" s="18"/>
      <x:c r="G192" s="14"/>
      <x:c r="H192" s="14"/>
    </x:row>
    <x:row r="193" ht="15" customHeight="1">
      <x:c r="A193" s="2" t="str">
        <x:v>Module Code</x:v>
      </x:c>
      <x:c r="B193" s="14" t="str">
        <x:v>CSIT321</x:v>
      </x:c>
      <x:c r="C193" s="14"/>
      <x:c r="D193" s="14"/>
      <x:c r="E193" s="14"/>
      <x:c r="F193" s="18"/>
      <x:c r="G193" s="14"/>
      <x:c r="H193" s="14"/>
    </x:row>
    <x:row r="194" ht="25.5" customHeight="1">
      <x:c r="A194" s="2" t="str">
        <x:v>User Story</x:v>
      </x:c>
      <x:c r="B194" s="14" t="str">
        <x:v>32. As a user, I want to download and reconstruct a shared file only when I have valid access so that I can securely retrieve the original content on my device.</x:v>
      </x:c>
      <x:c r="C194" s="14"/>
      <x:c r="D194" s="14"/>
      <x:c r="E194" s="14"/>
      <x:c r="F194" s="18"/>
      <x:c r="G194" s="14"/>
      <x:c r="H194" s="14"/>
    </x:row>
    <x:row r="195" ht="70.5" customHeight="1">
      <x:c r="A195" s="2" t="str">
        <x:v>Preconditions</x:v>
      </x:c>
      <x:c r="B195"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195" s="14"/>
      <x:c r="D195" s="14"/>
      <x:c r="E195" s="14"/>
      <x:c r="F195" s="18"/>
      <x:c r="G195" s="14"/>
      <x:c r="H195" s="14"/>
    </x:row>
    <x:row r="196" ht="63" customHeight="1">
      <x:c r="A196" s="2" t="str">
        <x:v>Test Requirement</x:v>
      </x:c>
      <x:c r="B196" s="14" t="str">
        <x:v>1. Have a valid active link assigned to the logged-in recipient.
2. For validation, ensure revoked or used links cannot download the file.
3. For the alternate case, ensure reconstruction and decryption are reported before download.</x:v>
      </x:c>
      <x:c r="C196" s="14"/>
      <x:c r="D196" s="14"/>
      <x:c r="E196" s="14"/>
      <x:c r="F196" s="18"/>
      <x:c r="G196" s="14"/>
      <x:c r="H196" s="14"/>
    </x:row>
    <x:row r="197" ht="28.5" customHeight="1">
      <x:c r="A197" s="2" t="str">
        <x:v>Purpose</x:v>
      </x:c>
      <x:c r="B197" s="14" t="str">
        <x:v>Verify authorised shared download and rejected invalid access.</x:v>
      </x:c>
      <x:c r="C197" s="14"/>
      <x:c r="D197" s="14"/>
      <x:c r="E197" s="14"/>
      <x:c r="F197" s="18"/>
      <x:c r="G197" s="14"/>
      <x:c r="H197" s="14"/>
    </x:row>
    <x:row r="198" ht="15" customHeight="1">
      <x:c r="A198" s="2" t="str">
        <x:v>Pass</x:v>
      </x:c>
      <x:c r="B198" s="15" t="n">
        <x:v>3</x:v>
      </x:c>
      <x:c r="C198" s="15"/>
      <x:c r="D198" s="15"/>
      <x:c r="E198" s="15"/>
      <x:c r="F198" s="15"/>
      <x:c r="G198" s="15"/>
      <x:c r="H198" s="15"/>
    </x:row>
    <x:row r="199" ht="15" customHeight="1">
      <x:c r="A199" s="2" t="str">
        <x:v>Fail</x:v>
      </x:c>
      <x:c r="B199" s="15" t="n">
        <x:v>0</x:v>
      </x:c>
      <x:c r="C199" s="15"/>
      <x:c r="D199" s="15"/>
      <x:c r="E199" s="15"/>
      <x:c r="F199" s="15"/>
      <x:c r="G199" s="15"/>
      <x:c r="H199" s="15"/>
    </x:row>
    <x:row r="200" ht="15" customHeight="1">
      <x:c r="A200" s="2" t="str">
        <x:v>Pending</x:v>
      </x:c>
      <x:c r="B200" s="15" t="n">
        <x:v>0</x:v>
      </x:c>
      <x:c r="C200" s="15"/>
      <x:c r="D200" s="15"/>
      <x:c r="E200" s="15"/>
      <x:c r="F200" s="15"/>
      <x:c r="G200" s="15"/>
      <x:c r="H200" s="15"/>
    </x:row>
    <x:row r="201" ht="30" customHeight="1">
      <x:c r="A201" s="11" t="str">
        <x:v>Number of test cases</x:v>
      </x:c>
      <x:c r="B201" s="16" t="n">
        <x:v>3</x:v>
      </x:c>
      <x:c r="C201" s="16"/>
      <x:c r="D201" s="16"/>
      <x:c r="E201" s="16"/>
      <x:c r="F201" s="16"/>
      <x:c r="G201" s="16"/>
      <x:c r="H201" s="16"/>
    </x:row>
    <x:row r="202" ht="7.5" customHeight="1">
      <x:c r="A202" s="3"/>
      <x:c r="B202" s="3"/>
      <x:c r="C202" s="3"/>
      <x:c r="D202" s="3"/>
      <x:c r="E202" s="3"/>
      <x:c r="F202" s="4"/>
      <x:c r="G202" s="3"/>
      <x:c r="H202" s="3"/>
    </x:row>
    <x:row r="203" ht="7.5" customHeight="1">
      <x:c r="A203" s="3"/>
      <x:c r="B203" s="3"/>
      <x:c r="C203" s="3"/>
      <x:c r="D203" s="3"/>
      <x:c r="E203" s="3"/>
      <x:c r="F203" s="4"/>
      <x:c r="G203" s="3"/>
      <x:c r="H203" s="3"/>
    </x:row>
    <x:row r="204" ht="24" customHeight="1">
      <x:c r="A204" s="6" t="str">
        <x:v>ID</x:v>
      </x:c>
      <x:c r="B204" s="6" t="str">
        <x:v>Test Case Description</x:v>
      </x:c>
      <x:c r="C204" s="6" t="str">
        <x:v>Test Case Procedure</x:v>
      </x:c>
      <x:c r="D204" s="6" t="str">
        <x:v>Expected Output</x:v>
      </x:c>
      <x:c r="E204" s="6" t="str">
        <x:v>Actual Output</x:v>
      </x:c>
      <x:c r="F204" s="8" t="str">
        <x:v>Test Date</x:v>
      </x:c>
      <x:c r="G204" s="6" t="str">
        <x:v>Result</x:v>
      </x:c>
      <x:c r="H204" s="6" t="str">
        <x:v>Note</x:v>
      </x:c>
    </x:row>
    <x:row r="205" ht="21" customHeight="1">
      <x:c r="A205" s="13" t="str">
        <x:v>Sprint 3 US32 - As a user, I want to download and reconstruct a shared file only when I have valid access so that I can securely retrieve the original content on my device.</x:v>
      </x:c>
      <x:c r="B205" s="13"/>
      <x:c r="C205" s="13"/>
      <x:c r="D205" s="13"/>
      <x:c r="E205" s="13"/>
      <x:c r="F205" s="17"/>
      <x:c r="G205" s="13"/>
      <x:c r="H205" s="13"/>
    </x:row>
    <x:row r="206" ht="64.5" customHeight="1">
      <x:c r="A206" s="3" t="str">
        <x:v>TC-32-1</x:v>
      </x:c>
      <x:c r="B206" s="3" t="str">
        <x:v>Main - Valid recipient access</x:v>
      </x:c>
      <x:c r="C206" s="3" t="str">
        <x:v>Log in as johnsmith and open the assigned link.</x:v>
      </x:c>
      <x:c r="D206" s="3" t="str">
        <x:v>Access is granted and Download Complete File is available.</x:v>
      </x:c>
      <x:c r="E206" s="3" t="str">
        <x:v>The page displayed ("Access granted for: sprint3_browser_file.txt").</x:v>
      </x:c>
      <x:c r="F206" s="7" t="n">
        <x:v>46220</x:v>
      </x:c>
      <x:c r="G206" s="5" t="str">
        <x:v>Pass</x:v>
      </x:c>
      <x:c r="H206" s="3" t="str">
        <x:v>Verified access under the johnsmith session.</x:v>
      </x:c>
    </x:row>
    <x:row r="207" ht="64.5" customHeight="1">
      <x:c r="A207" s="3" t="str">
        <x:v>TC-32-2</x:v>
      </x:c>
      <x:c r="B207" s="3" t="str">
        <x:v>Validation - Invalid link state</x:v>
      </x:c>
      <x:c r="C207" s="3" t="str">
        <x:v>Open a revoked or already-used link.</x:v>
      </x:c>
      <x:c r="D207" s="3" t="str">
        <x:v>Access is denied.</x:v>
      </x:c>
      <x:c r="E207" s="3" t="str">
        <x:v>The tested links displayed ("Link revoked.") or ("Link already used.").</x:v>
      </x:c>
      <x:c r="F207" s="7" t="n">
        <x:v>46220</x:v>
      </x:c>
      <x:c r="G207" s="5" t="str">
        <x:v>Pass</x:v>
      </x:c>
      <x:c r="H207" s="3" t="str">
        <x:v>Retested both revoked and used link states.</x:v>
      </x:c>
    </x:row>
    <x:row r="208" ht="64.5" customHeight="1">
      <x:c r="A208" s="3" t="str">
        <x:v>TC-32-3</x:v>
      </x:c>
      <x:c r="B208" s="3" t="str">
        <x:v>Alternate - Secure reconstruction</x:v>
      </x:c>
      <x:c r="C208" s="3" t="str">
        <x:v>Inspect the successful access result.</x:v>
      </x:c>
      <x:c r="D208" s="3" t="str">
        <x:v>The system reports reconstruction and decryption.</x:v>
      </x:c>
      <x:c r="E208" s="3" t="str">
        <x:v>The page displayed ("System reconstructed the file, decrypted it, and prepared it for download.").</x:v>
      </x:c>
      <x:c r="F208" s="7" t="n">
        <x:v>46220</x:v>
      </x:c>
      <x:c r="G208" s="5" t="str">
        <x:v>Pass</x:v>
      </x:c>
      <x:c r="H208" s="3" t="str">
        <x:v>Observed reconstruction and decryption before download.</x:v>
      </x:c>
    </x:row>
    <x:row r="209" ht="18" customHeight="1">
      <x:c r="A209"/>
      <x:c r="B209"/>
      <x:c r="C209"/>
      <x:c r="D209"/>
      <x:c r="E209"/>
      <x:c r="F209" s="1"/>
      <x:c r="G209"/>
      <x:c r="H209"/>
    </x:row>
    <x:row r="210" ht="18" customHeight="1">
      <x:c r="A210" s="13" t="str">
        <x:v>TC-33 - As a user, I want to set a time limit on the link so that the shared file is only accessible within a specific time period and cannot be accessed after it expires.</x:v>
      </x:c>
      <x:c r="B210" s="13"/>
      <x:c r="C210" s="13"/>
      <x:c r="D210" s="13"/>
      <x:c r="E210" s="13"/>
      <x:c r="F210" s="17"/>
      <x:c r="G210" s="13"/>
      <x:c r="H210" s="13"/>
    </x:row>
    <x:row r="211" ht="15" customHeight="1">
      <x:c r="A211" s="2" t="str">
        <x:v>System Name</x:v>
      </x:c>
      <x:c r="B211" s="14" t="str">
        <x:v>Lazarus</x:v>
      </x:c>
      <x:c r="C211" s="14"/>
      <x:c r="D211" s="14"/>
      <x:c r="E211" s="14"/>
      <x:c r="F211" s="18"/>
      <x:c r="G211" s="14"/>
      <x:c r="H211" s="14"/>
    </x:row>
    <x:row r="212" ht="15" customHeight="1">
      <x:c r="A212" s="2" t="str">
        <x:v>Module Code</x:v>
      </x:c>
      <x:c r="B212" s="14" t="str">
        <x:v>CSIT321</x:v>
      </x:c>
      <x:c r="C212" s="14"/>
      <x:c r="D212" s="14"/>
      <x:c r="E212" s="14"/>
      <x:c r="F212" s="18"/>
      <x:c r="G212" s="14"/>
      <x:c r="H212" s="14"/>
    </x:row>
    <x:row r="213" ht="25.5" customHeight="1">
      <x:c r="A213" s="2" t="str">
        <x:v>User Story</x:v>
      </x:c>
      <x:c r="B213" s="14" t="str">
        <x:v>33. As a user, I want to set a time limit on the link so that the shared file is only accessible within a specific time period and cannot be accessed after it expires.</x:v>
      </x:c>
      <x:c r="C213" s="14"/>
      <x:c r="D213" s="14"/>
      <x:c r="E213" s="14"/>
      <x:c r="F213" s="18"/>
      <x:c r="G213" s="14"/>
      <x:c r="H213" s="14"/>
    </x:row>
    <x:row r="214" ht="70.5" customHeight="1">
      <x:c r="A214" s="2" t="str">
        <x:v>Preconditions</x:v>
      </x:c>
      <x:c r="B214"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214" s="14"/>
      <x:c r="D214" s="14"/>
      <x:c r="E214" s="14"/>
      <x:c r="F214" s="18"/>
      <x:c r="G214" s="14"/>
      <x:c r="H214" s="14"/>
    </x:row>
    <x:row r="215" ht="63" customHeight="1">
      <x:c r="A215" s="2" t="str">
        <x:v>Test Requirement</x:v>
      </x:c>
      <x:c r="B215" s="14" t="str">
        <x:v>1. Have an active owner-created share link.
2. For validation, ensure a past expiry value is rejected.
3. For the alternate case, ensure expiry hours can be selected during link creation.</x:v>
      </x:c>
      <x:c r="C215" s="14"/>
      <x:c r="D215" s="14"/>
      <x:c r="E215" s="14"/>
      <x:c r="F215" s="18"/>
      <x:c r="G215" s="14"/>
      <x:c r="H215" s="14"/>
    </x:row>
    <x:row r="216" ht="28.5" customHeight="1">
      <x:c r="A216" s="2" t="str">
        <x:v>Purpose</x:v>
      </x:c>
      <x:c r="B216" s="14" t="str">
        <x:v>Verify user-controlled link expiry.</x:v>
      </x:c>
      <x:c r="C216" s="14"/>
      <x:c r="D216" s="14"/>
      <x:c r="E216" s="14"/>
      <x:c r="F216" s="18"/>
      <x:c r="G216" s="14"/>
      <x:c r="H216" s="14"/>
    </x:row>
    <x:row r="217" ht="15" customHeight="1">
      <x:c r="A217" s="2" t="str">
        <x:v>Pass</x:v>
      </x:c>
      <x:c r="B217" s="15" t="n">
        <x:v>3</x:v>
      </x:c>
      <x:c r="C217" s="15"/>
      <x:c r="D217" s="15"/>
      <x:c r="E217" s="15"/>
      <x:c r="F217" s="15"/>
      <x:c r="G217" s="15"/>
      <x:c r="H217" s="15"/>
    </x:row>
    <x:row r="218" ht="15" customHeight="1">
      <x:c r="A218" s="2" t="str">
        <x:v>Fail</x:v>
      </x:c>
      <x:c r="B218" s="15" t="n">
        <x:v>0</x:v>
      </x:c>
      <x:c r="C218" s="15"/>
      <x:c r="D218" s="15"/>
      <x:c r="E218" s="15"/>
      <x:c r="F218" s="15"/>
      <x:c r="G218" s="15"/>
      <x:c r="H218" s="15"/>
    </x:row>
    <x:row r="219" ht="15" customHeight="1">
      <x:c r="A219" s="2" t="str">
        <x:v>Pending</x:v>
      </x:c>
      <x:c r="B219" s="15" t="n">
        <x:v>0</x:v>
      </x:c>
      <x:c r="C219" s="15"/>
      <x:c r="D219" s="15"/>
      <x:c r="E219" s="15"/>
      <x:c r="F219" s="15"/>
      <x:c r="G219" s="15"/>
      <x:c r="H219" s="15"/>
    </x:row>
    <x:row r="220" ht="30" customHeight="1">
      <x:c r="A220" s="11" t="str">
        <x:v>Number of test cases</x:v>
      </x:c>
      <x:c r="B220" s="16" t="n">
        <x:v>3</x:v>
      </x:c>
      <x:c r="C220" s="16"/>
      <x:c r="D220" s="16"/>
      <x:c r="E220" s="16"/>
      <x:c r="F220" s="16"/>
      <x:c r="G220" s="16"/>
      <x:c r="H220" s="16"/>
    </x:row>
    <x:row r="221" ht="7.5" customHeight="1">
      <x:c r="A221" s="3"/>
      <x:c r="B221" s="3"/>
      <x:c r="C221" s="3"/>
      <x:c r="D221" s="3"/>
      <x:c r="E221" s="3"/>
      <x:c r="F221" s="4"/>
      <x:c r="G221" s="3"/>
      <x:c r="H221" s="3"/>
    </x:row>
    <x:row r="222" ht="7.5" customHeight="1">
      <x:c r="A222" s="3"/>
      <x:c r="B222" s="3"/>
      <x:c r="C222" s="3"/>
      <x:c r="D222" s="3"/>
      <x:c r="E222" s="3"/>
      <x:c r="F222" s="4"/>
      <x:c r="G222" s="3"/>
      <x:c r="H222" s="3"/>
    </x:row>
    <x:row r="223" ht="24" customHeight="1">
      <x:c r="A223" s="6" t="str">
        <x:v>ID</x:v>
      </x:c>
      <x:c r="B223" s="6" t="str">
        <x:v>Test Case Description</x:v>
      </x:c>
      <x:c r="C223" s="6" t="str">
        <x:v>Test Case Procedure</x:v>
      </x:c>
      <x:c r="D223" s="6" t="str">
        <x:v>Expected Output</x:v>
      </x:c>
      <x:c r="E223" s="6" t="str">
        <x:v>Actual Output</x:v>
      </x:c>
      <x:c r="F223" s="8" t="str">
        <x:v>Test Date</x:v>
      </x:c>
      <x:c r="G223" s="6" t="str">
        <x:v>Result</x:v>
      </x:c>
      <x:c r="H223" s="6" t="str">
        <x:v>Note</x:v>
      </x:c>
    </x:row>
    <x:row r="224" ht="21" customHeight="1">
      <x:c r="A224" s="13" t="str">
        <x:v>Sprint 3 US33 - As a user, I want to set a time limit on the link so that the shared file is only accessible within a specific time period and cannot be accessed after it expires.</x:v>
      </x:c>
      <x:c r="B224" s="13"/>
      <x:c r="C224" s="13"/>
      <x:c r="D224" s="13"/>
      <x:c r="E224" s="13"/>
      <x:c r="F224" s="17"/>
      <x:c r="G224" s="13"/>
      <x:c r="H224" s="13"/>
    </x:row>
    <x:row r="225" ht="64.5" customHeight="1">
      <x:c r="A225" s="3" t="str">
        <x:v>TC-33-1</x:v>
      </x:c>
      <x:c r="B225" s="3" t="str">
        <x:v>Main - Set exact expiry</x:v>
      </x:c>
      <x:c r="C225" s="3" t="str">
        <x:v>Set the active link expiry to 2026-08-08 12:00.</x:v>
      </x:c>
      <x:c r="D225" s="3" t="str">
        <x:v>The expiry is saved.</x:v>
      </x:c>
      <x:c r="E225" s="3" t="str">
        <x:v>The page displayed ("Link expiry set.") and the row showed 2026-08-08 12:00.</x:v>
      </x:c>
      <x:c r="F225" s="7" t="n">
        <x:v>46223</x:v>
      </x:c>
      <x:c r="G225" s="5" t="str">
        <x:v>Pass</x:v>
      </x:c>
      <x:c r="H225" s="3" t="str">
        <x:v>Set the expiry on the disposable active link.</x:v>
      </x:c>
    </x:row>
    <x:row r="226" ht="64.5" customHeight="1">
      <x:c r="A226" s="3" t="str">
        <x:v>TC-33-2</x:v>
      </x:c>
      <x:c r="B226" s="3" t="str">
        <x:v>Validation - Past expiry</x:v>
      </x:c>
      <x:c r="C226" s="3" t="str">
        <x:v>Set the expiry to 2026-08-06 12:00.</x:v>
      </x:c>
      <x:c r="D226" s="3" t="str">
        <x:v>The value is rejected with ("Unable to set expiry.").</x:v>
      </x:c>
      <x:c r="E226" s="3" t="str">
        <x:v>The page displayed ("Unable to set expiry.").</x:v>
      </x:c>
      <x:c r="F226" s="7" t="n">
        <x:v>46223</x:v>
      </x:c>
      <x:c r="G226" s="5" t="str">
        <x:v>Pass</x:v>
      </x:c>
      <x:c r="H226" s="3" t="str">
        <x:v>Used a past date to confirm rejection.</x:v>
      </x:c>
    </x:row>
    <x:row r="227" ht="64.5" customHeight="1">
      <x:c r="A227" s="3" t="str">
        <x:v>TC-33-3</x:v>
      </x:c>
      <x:c r="B227" s="3" t="str">
        <x:v>Alternate - Expiry hours</x:v>
      </x:c>
      <x:c r="C227" s="3" t="str">
        <x:v>Create a link with Expiry Hours set to 2.</x:v>
      </x:c>
      <x:c r="D227" s="3" t="str">
        <x:v>The generated link receives a two-hour expiry.</x:v>
      </x:c>
      <x:c r="E227" s="3" t="str">
        <x:v>The new row displayed an expiry two hours after its creation time.</x:v>
      </x:c>
      <x:c r="F227" s="7" t="n">
        <x:v>46223</x:v>
      </x:c>
      <x:c r="G227" s="5" t="str">
        <x:v>Pass</x:v>
      </x:c>
      <x:c r="H227" s="3" t="str">
        <x:v>Created a second link using Expiry Hours.</x:v>
      </x:c>
    </x:row>
    <x:row r="228" ht="18" customHeight="1">
      <x:c r="A228"/>
      <x:c r="B228"/>
      <x:c r="C228"/>
      <x:c r="D228"/>
      <x:c r="E228"/>
      <x:c r="F228" s="1"/>
      <x:c r="G228"/>
      <x:c r="H228"/>
    </x:row>
    <x:row r="229" ht="18" customHeight="1">
      <x:c r="A229" s="13" t="str">
        <x:v>TC-34 - As a user, I want expired links to be inaccessible so that the file cannot be downloaded once the time limit has passed.</x:v>
      </x:c>
      <x:c r="B229" s="13"/>
      <x:c r="C229" s="13"/>
      <x:c r="D229" s="13"/>
      <x:c r="E229" s="13"/>
      <x:c r="F229" s="17"/>
      <x:c r="G229" s="13"/>
      <x:c r="H229" s="13"/>
    </x:row>
    <x:row r="230" ht="15" customHeight="1">
      <x:c r="A230" s="2" t="str">
        <x:v>System Name</x:v>
      </x:c>
      <x:c r="B230" s="14" t="str">
        <x:v>Lazarus</x:v>
      </x:c>
      <x:c r="C230" s="14"/>
      <x:c r="D230" s="14"/>
      <x:c r="E230" s="14"/>
      <x:c r="F230" s="18"/>
      <x:c r="G230" s="14"/>
      <x:c r="H230" s="14"/>
    </x:row>
    <x:row r="231" ht="15" customHeight="1">
      <x:c r="A231" s="2" t="str">
        <x:v>Module Code</x:v>
      </x:c>
      <x:c r="B231" s="14" t="str">
        <x:v>CSIT321</x:v>
      </x:c>
      <x:c r="C231" s="14"/>
      <x:c r="D231" s="14"/>
      <x:c r="E231" s="14"/>
      <x:c r="F231" s="18"/>
      <x:c r="G231" s="14"/>
      <x:c r="H231" s="14"/>
    </x:row>
    <x:row r="232" ht="25.5" customHeight="1">
      <x:c r="A232" s="2" t="str">
        <x:v>User Story</x:v>
      </x:c>
      <x:c r="B232" s="14" t="str">
        <x:v>34. As a user, I want expired links to be inaccessible so that the file cannot be downloaded once the time limit has passed.</x:v>
      </x:c>
      <x:c r="C232" s="14"/>
      <x:c r="D232" s="14"/>
      <x:c r="E232" s="14"/>
      <x:c r="F232" s="18"/>
      <x:c r="G232" s="14"/>
      <x:c r="H232" s="14"/>
    </x:row>
    <x:row r="233" ht="70.5" customHeight="1">
      <x:c r="A233" s="2" t="str">
        <x:v>Preconditions</x:v>
      </x:c>
      <x:c r="B233"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233" s="14"/>
      <x:c r="D233" s="14"/>
      <x:c r="E233" s="14"/>
      <x:c r="F233" s="18"/>
      <x:c r="G233" s="14"/>
      <x:c r="H233" s="14"/>
    </x:row>
    <x:row r="234" ht="63" customHeight="1">
      <x:c r="A234" s="2" t="str">
        <x:v>Test Requirement</x:v>
      </x:c>
      <x:c r="B234" s="14" t="str">
        <x:v>1. Have a share link whose expiry time has passed.
2. For validation, ensure no Revoke or Download action is offered for an expired row.
3. For the alternate case, ensure the owner can generate a replacement link.</x:v>
      </x:c>
      <x:c r="C234" s="14"/>
      <x:c r="D234" s="14"/>
      <x:c r="E234" s="14"/>
      <x:c r="F234" s="18"/>
      <x:c r="G234" s="14"/>
      <x:c r="H234" s="14"/>
    </x:row>
    <x:row r="235" ht="28.5" customHeight="1">
      <x:c r="A235" s="2" t="str">
        <x:v>Purpose</x:v>
      </x:c>
      <x:c r="B235" s="14" t="str">
        <x:v>Verify expired-link status and blocked reuse.</x:v>
      </x:c>
      <x:c r="C235" s="14"/>
      <x:c r="D235" s="14"/>
      <x:c r="E235" s="14"/>
      <x:c r="F235" s="18"/>
      <x:c r="G235" s="14"/>
      <x:c r="H235" s="14"/>
    </x:row>
    <x:row r="236" ht="15" customHeight="1">
      <x:c r="A236" s="2" t="str">
        <x:v>Pass</x:v>
      </x:c>
      <x:c r="B236" s="15" t="n">
        <x:v>3</x:v>
      </x:c>
      <x:c r="C236" s="15"/>
      <x:c r="D236" s="15"/>
      <x:c r="E236" s="15"/>
      <x:c r="F236" s="15"/>
      <x:c r="G236" s="15"/>
      <x:c r="H236" s="15"/>
    </x:row>
    <x:row r="237" ht="15" customHeight="1">
      <x:c r="A237" s="2" t="str">
        <x:v>Fail</x:v>
      </x:c>
      <x:c r="B237" s="15" t="n">
        <x:v>0</x:v>
      </x:c>
      <x:c r="C237" s="15"/>
      <x:c r="D237" s="15"/>
      <x:c r="E237" s="15"/>
      <x:c r="F237" s="15"/>
      <x:c r="G237" s="15"/>
      <x:c r="H237" s="15"/>
    </x:row>
    <x:row r="238" ht="15" customHeight="1">
      <x:c r="A238" s="2" t="str">
        <x:v>Pending</x:v>
      </x:c>
      <x:c r="B238" s="15" t="n">
        <x:v>0</x:v>
      </x:c>
      <x:c r="C238" s="15"/>
      <x:c r="D238" s="15"/>
      <x:c r="E238" s="15"/>
      <x:c r="F238" s="15"/>
      <x:c r="G238" s="15"/>
      <x:c r="H238" s="15"/>
    </x:row>
    <x:row r="239" ht="30" customHeight="1">
      <x:c r="A239" s="11" t="str">
        <x:v>Number of test cases</x:v>
      </x:c>
      <x:c r="B239" s="16" t="n">
        <x:v>3</x:v>
      </x:c>
      <x:c r="C239" s="16"/>
      <x:c r="D239" s="16"/>
      <x:c r="E239" s="16"/>
      <x:c r="F239" s="16"/>
      <x:c r="G239" s="16"/>
      <x:c r="H239" s="16"/>
    </x:row>
    <x:row r="240" ht="7.5" customHeight="1">
      <x:c r="A240" s="3"/>
      <x:c r="B240" s="3"/>
      <x:c r="C240" s="3"/>
      <x:c r="D240" s="3"/>
      <x:c r="E240" s="3"/>
      <x:c r="F240" s="4"/>
      <x:c r="G240" s="3"/>
      <x:c r="H240" s="3"/>
    </x:row>
    <x:row r="241" ht="7.5" customHeight="1">
      <x:c r="A241" s="3"/>
      <x:c r="B241" s="3"/>
      <x:c r="C241" s="3"/>
      <x:c r="D241" s="3"/>
      <x:c r="E241" s="3"/>
      <x:c r="F241" s="4"/>
      <x:c r="G241" s="3"/>
      <x:c r="H241" s="3"/>
    </x:row>
    <x:row r="242" ht="24" customHeight="1">
      <x:c r="A242" s="6" t="str">
        <x:v>ID</x:v>
      </x:c>
      <x:c r="B242" s="6" t="str">
        <x:v>Test Case Description</x:v>
      </x:c>
      <x:c r="C242" s="6" t="str">
        <x:v>Test Case Procedure</x:v>
      </x:c>
      <x:c r="D242" s="6" t="str">
        <x:v>Expected Output</x:v>
      </x:c>
      <x:c r="E242" s="6" t="str">
        <x:v>Actual Output</x:v>
      </x:c>
      <x:c r="F242" s="8" t="str">
        <x:v>Test Date</x:v>
      </x:c>
      <x:c r="G242" s="6" t="str">
        <x:v>Result</x:v>
      </x:c>
      <x:c r="H242" s="6" t="str">
        <x:v>Note</x:v>
      </x:c>
    </x:row>
    <x:row r="243" ht="21" customHeight="1">
      <x:c r="A243" s="13" t="str">
        <x:v>Sprint 3 US34 - As a user, I want expired links to be inaccessible so that the file cannot be downloaded once the time limit has passed.</x:v>
      </x:c>
      <x:c r="B243" s="13"/>
      <x:c r="C243" s="13"/>
      <x:c r="D243" s="13"/>
      <x:c r="E243" s="13"/>
      <x:c r="F243" s="17"/>
      <x:c r="G243" s="13"/>
      <x:c r="H243" s="13"/>
    </x:row>
    <x:row r="244" ht="64.5" customHeight="1">
      <x:c r="A244" s="3" t="str">
        <x:v>TC-34-1</x:v>
      </x:c>
      <x:c r="B244" s="3" t="str">
        <x:v>Main - Expired status</x:v>
      </x:c>
      <x:c r="C244" s="3" t="str">
        <x:v>Open Shared Files after an existing link's expiry.</x:v>
      </x:c>
      <x:c r="D244" s="3" t="str">
        <x:v>The link is marked Expired.</x:v>
      </x:c>
      <x:c r="E244" s="3" t="str">
        <x:v>The browser_test_upload.txt row displayed ("Expired") with expiry 2026-07-25 20:00.</x:v>
      </x:c>
      <x:c r="F244" s="7" t="n">
        <x:v>46225</x:v>
      </x:c>
      <x:c r="G244" s="5" t="str">
        <x:v>Pass</x:v>
      </x:c>
      <x:c r="H244" s="3" t="str">
        <x:v>Reviewed the existing expired share row.</x:v>
      </x:c>
    </x:row>
    <x:row r="245" ht="64.5" customHeight="1">
      <x:c r="A245" s="3" t="str">
        <x:v>TC-34-2</x:v>
      </x:c>
      <x:c r="B245" s="3" t="str">
        <x:v>Validation - No active action</x:v>
      </x:c>
      <x:c r="C245" s="3" t="str">
        <x:v>Inspect the expired row's action.</x:v>
      </x:c>
      <x:c r="D245" s="3" t="str">
        <x:v>The expired link cannot be treated as active.</x:v>
      </x:c>
      <x:c r="E245" s="3" t="str">
        <x:v>The row did not offer Revoke Link and displayed only Generate New Link.</x:v>
      </x:c>
      <x:c r="F245" s="7" t="n">
        <x:v>46225</x:v>
      </x:c>
      <x:c r="G245" s="5" t="str">
        <x:v>Pass</x:v>
      </x:c>
      <x:c r="H245" s="3" t="str">
        <x:v>Confirmed no active-link action remained.</x:v>
      </x:c>
    </x:row>
    <x:row r="246" ht="64.5" customHeight="1">
      <x:c r="A246" s="3" t="str">
        <x:v>TC-34-3</x:v>
      </x:c>
      <x:c r="B246" s="3" t="str">
        <x:v>Alternate - Replacement allowed</x:v>
      </x:c>
      <x:c r="C246" s="3" t="str">
        <x:v>Select the replacement option for an expired share.</x:v>
      </x:c>
      <x:c r="D246" s="3" t="str">
        <x:v>The owner can create a new secure link rather than reuse the expired one.</x:v>
      </x:c>
      <x:c r="E246" s="3" t="str">
        <x:v>The expired row displayed ("Generate New Link").</x:v>
      </x:c>
      <x:c r="F246" s="7" t="n">
        <x:v>46225</x:v>
      </x:c>
      <x:c r="G246" s="5" t="str">
        <x:v>Pass</x:v>
      </x:c>
      <x:c r="H246" s="3" t="str">
        <x:v>Verified Generate New Link was available.</x:v>
      </x:c>
    </x:row>
    <x:row r="247" ht="18" customHeight="1">
      <x:c r="A247"/>
      <x:c r="B247"/>
      <x:c r="C247"/>
      <x:c r="D247"/>
      <x:c r="E247"/>
      <x:c r="F247" s="1"/>
      <x:c r="G247"/>
      <x:c r="H247"/>
    </x:row>
    <x:row r="248" ht="18" customHeight="1">
      <x:c r="A248" s="13" t="str">
        <x:v>TC-35 - As a system admin, I want to define a maximum expiry duration so that link sharing remains secure and controlled.</x:v>
      </x:c>
      <x:c r="B248" s="13"/>
      <x:c r="C248" s="13"/>
      <x:c r="D248" s="13"/>
      <x:c r="E248" s="13"/>
      <x:c r="F248" s="17"/>
      <x:c r="G248" s="13"/>
      <x:c r="H248" s="13"/>
    </x:row>
    <x:row r="249" ht="15" customHeight="1">
      <x:c r="A249" s="2" t="str">
        <x:v>System Name</x:v>
      </x:c>
      <x:c r="B249" s="14" t="str">
        <x:v>Lazarus</x:v>
      </x:c>
      <x:c r="C249" s="14"/>
      <x:c r="D249" s="14"/>
      <x:c r="E249" s="14"/>
      <x:c r="F249" s="18"/>
      <x:c r="G249" s="14"/>
      <x:c r="H249" s="14"/>
    </x:row>
    <x:row r="250" ht="15" customHeight="1">
      <x:c r="A250" s="2" t="str">
        <x:v>Module Code</x:v>
      </x:c>
      <x:c r="B250" s="14" t="str">
        <x:v>CSIT321</x:v>
      </x:c>
      <x:c r="C250" s="14"/>
      <x:c r="D250" s="14"/>
      <x:c r="E250" s="14"/>
      <x:c r="F250" s="18"/>
      <x:c r="G250" s="14"/>
      <x:c r="H250" s="14"/>
    </x:row>
    <x:row r="251" ht="25.5" customHeight="1">
      <x:c r="A251" s="2" t="str">
        <x:v>User Story</x:v>
      </x:c>
      <x:c r="B251" s="14" t="str">
        <x:v>35. As a system admin, I want to define a maximum expiry duration so that link sharing remains secure and controlled.</x:v>
      </x:c>
      <x:c r="C251" s="14"/>
      <x:c r="D251" s="14"/>
      <x:c r="E251" s="14"/>
      <x:c r="F251" s="18"/>
      <x:c r="G251" s="14"/>
      <x:c r="H251" s="14"/>
    </x:row>
    <x:row r="252" ht="70.5" customHeight="1">
      <x:c r="A252" s="2" t="str">
        <x:v>Preconditions</x:v>
      </x:c>
      <x:c r="B252"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252" s="14"/>
      <x:c r="D252" s="14"/>
      <x:c r="E252" s="14"/>
      <x:c r="F252" s="18"/>
      <x:c r="G252" s="14"/>
      <x:c r="H252" s="14"/>
    </x:row>
    <x:row r="253" ht="63" customHeight="1">
      <x:c r="A253" s="2" t="str">
        <x:v>Test Requirement</x:v>
      </x:c>
      <x:c r="B253" s="14" t="str">
        <x:v>1. Have System Admin access to Security Settings.
2. For validation, ensure an out-of-range maximum is not saved.
3. For the alternate case, ensure the updated maximum is shown in the policy summary.</x:v>
      </x:c>
      <x:c r="C253" s="14"/>
      <x:c r="D253" s="14"/>
      <x:c r="E253" s="14"/>
      <x:c r="F253" s="18"/>
      <x:c r="G253" s="14"/>
      <x:c r="H253" s="14"/>
    </x:row>
    <x:row r="254" ht="28.5" customHeight="1">
      <x:c r="A254" s="2" t="str">
        <x:v>Purpose</x:v>
      </x:c>
      <x:c r="B254" s="14" t="str">
        <x:v>Verify maximum link-lifetime configuration.</x:v>
      </x:c>
      <x:c r="C254" s="14"/>
      <x:c r="D254" s="14"/>
      <x:c r="E254" s="14"/>
      <x:c r="F254" s="18"/>
      <x:c r="G254" s="14"/>
      <x:c r="H254" s="14"/>
    </x:row>
    <x:row r="255" ht="15" customHeight="1">
      <x:c r="A255" s="2" t="str">
        <x:v>Pass</x:v>
      </x:c>
      <x:c r="B255" s="15" t="n">
        <x:v>3</x:v>
      </x:c>
      <x:c r="C255" s="15"/>
      <x:c r="D255" s="15"/>
      <x:c r="E255" s="15"/>
      <x:c r="F255" s="15"/>
      <x:c r="G255" s="15"/>
      <x:c r="H255" s="15"/>
    </x:row>
    <x:row r="256" ht="15" customHeight="1">
      <x:c r="A256" s="2" t="str">
        <x:v>Fail</x:v>
      </x:c>
      <x:c r="B256" s="15" t="n">
        <x:v>0</x:v>
      </x:c>
      <x:c r="C256" s="15"/>
      <x:c r="D256" s="15"/>
      <x:c r="E256" s="15"/>
      <x:c r="F256" s="15"/>
      <x:c r="G256" s="15"/>
      <x:c r="H256" s="15"/>
    </x:row>
    <x:row r="257" ht="15" customHeight="1">
      <x:c r="A257" s="2" t="str">
        <x:v>Pending</x:v>
      </x:c>
      <x:c r="B257" s="15" t="n">
        <x:v>0</x:v>
      </x:c>
      <x:c r="C257" s="15"/>
      <x:c r="D257" s="15"/>
      <x:c r="E257" s="15"/>
      <x:c r="F257" s="15"/>
      <x:c r="G257" s="15"/>
      <x:c r="H257" s="15"/>
    </x:row>
    <x:row r="258" ht="30" customHeight="1">
      <x:c r="A258" s="11" t="str">
        <x:v>Number of test cases</x:v>
      </x:c>
      <x:c r="B258" s="16" t="n">
        <x:v>3</x:v>
      </x:c>
      <x:c r="C258" s="16"/>
      <x:c r="D258" s="16"/>
      <x:c r="E258" s="16"/>
      <x:c r="F258" s="16"/>
      <x:c r="G258" s="16"/>
      <x:c r="H258" s="16"/>
    </x:row>
    <x:row r="259" ht="7.5" customHeight="1">
      <x:c r="A259" s="3"/>
      <x:c r="B259" s="3"/>
      <x:c r="C259" s="3"/>
      <x:c r="D259" s="3"/>
      <x:c r="E259" s="3"/>
      <x:c r="F259" s="4"/>
      <x:c r="G259" s="3"/>
      <x:c r="H259" s="3"/>
    </x:row>
    <x:row r="260" ht="7.5" customHeight="1">
      <x:c r="A260" s="3"/>
      <x:c r="B260" s="3"/>
      <x:c r="C260" s="3"/>
      <x:c r="D260" s="3"/>
      <x:c r="E260" s="3"/>
      <x:c r="F260" s="4"/>
      <x:c r="G260" s="3"/>
      <x:c r="H260" s="3"/>
    </x:row>
    <x:row r="261" ht="24" customHeight="1">
      <x:c r="A261" s="6" t="str">
        <x:v>ID</x:v>
      </x:c>
      <x:c r="B261" s="6" t="str">
        <x:v>Test Case Description</x:v>
      </x:c>
      <x:c r="C261" s="6" t="str">
        <x:v>Test Case Procedure</x:v>
      </x:c>
      <x:c r="D261" s="6" t="str">
        <x:v>Expected Output</x:v>
      </x:c>
      <x:c r="E261" s="6" t="str">
        <x:v>Actual Output</x:v>
      </x:c>
      <x:c r="F261" s="8" t="str">
        <x:v>Test Date</x:v>
      </x:c>
      <x:c r="G261" s="6" t="str">
        <x:v>Result</x:v>
      </x:c>
      <x:c r="H261" s="6" t="str">
        <x:v>Note</x:v>
      </x:c>
    </x:row>
    <x:row r="262" ht="21" customHeight="1">
      <x:c r="A262" s="13" t="str">
        <x:v>Sprint 3 US35 - As a system admin, I want to define a maximum expiry duration so that link sharing remains secure and controlled.</x:v>
      </x:c>
      <x:c r="B262" s="13"/>
      <x:c r="C262" s="13"/>
      <x:c r="D262" s="13"/>
      <x:c r="E262" s="13"/>
      <x:c r="F262" s="17"/>
      <x:c r="G262" s="13"/>
      <x:c r="H262" s="13"/>
    </x:row>
    <x:row r="263" ht="64.5" customHeight="1">
      <x:c r="A263" s="3" t="str">
        <x:v>TC-35-1</x:v>
      </x:c>
      <x:c r="B263" s="3" t="str">
        <x:v>Main - Set maximum expiry</x:v>
      </x:c>
      <x:c r="C263" s="3" t="str">
        <x:v>Change the maximum from 72 to 48 hours.</x:v>
      </x:c>
      <x:c r="D263" s="3" t="str">
        <x:v>The setting is saved.</x:v>
      </x:c>
      <x:c r="E263" s="3" t="str">
        <x:v>The page displayed ("Max expiry duration set.") and ("48 hours maximum link lifetime").</x:v>
      </x:c>
      <x:c r="F263" s="7" t="n">
        <x:v>46228</x:v>
      </x:c>
      <x:c r="G263" s="5" t="str">
        <x:v>Pass</x:v>
      </x:c>
      <x:c r="H263" s="3" t="str">
        <x:v>Temporarily changed the maximum to 48 hours.</x:v>
      </x:c>
    </x:row>
    <x:row r="264" ht="64.5" customHeight="1">
      <x:c r="A264" s="3" t="str">
        <x:v>TC-35-2</x:v>
      </x:c>
      <x:c r="B264" s="3" t="str">
        <x:v>Validation - Out of range</x:v>
      </x:c>
      <x:c r="C264" s="3" t="str">
        <x:v>Enter 0 hours and attempt to submit.</x:v>
      </x:c>
      <x:c r="D264" s="3" t="str">
        <x:v>The form prevents the invalid maximum from being saved.</x:v>
      </x:c>
      <x:c r="E264" s="3" t="str">
        <x:v>The value remained unsaved and the summary stayed at the last valid maximum.</x:v>
      </x:c>
      <x:c r="F264" s="7" t="n">
        <x:v>46228</x:v>
      </x:c>
      <x:c r="G264" s="5" t="str">
        <x:v>Pass</x:v>
      </x:c>
      <x:c r="H264" s="3" t="str">
        <x:v>Confirmed the invalid value was not saved.</x:v>
      </x:c>
    </x:row>
    <x:row r="265" ht="64.5" customHeight="1">
      <x:c r="A265" s="3" t="str">
        <x:v>TC-35-3</x:v>
      </x:c>
      <x:c r="B265" s="3" t="str">
        <x:v>Alternate - Restore maximum</x:v>
      </x:c>
      <x:c r="C265" s="3" t="str">
        <x:v>Change the maximum back to 72 hours.</x:v>
      </x:c>
      <x:c r="D265" s="3" t="str">
        <x:v>The original secure maximum is restored.</x:v>
      </x:c>
      <x:c r="E265" s="3" t="str">
        <x:v>The page displayed ("72 hours maximum link lifetime").</x:v>
      </x:c>
      <x:c r="F265" s="7" t="n">
        <x:v>46228</x:v>
      </x:c>
      <x:c r="G265" s="5" t="str">
        <x:v>Pass</x:v>
      </x:c>
      <x:c r="H265" s="3" t="str">
        <x:v>Restored the original 72-hour setting afterward.</x:v>
      </x:c>
    </x:row>
    <x:row r="266" ht="18" customHeight="1">
      <x:c r="A266"/>
      <x:c r="B266"/>
      <x:c r="C266"/>
      <x:c r="D266"/>
      <x:c r="E266"/>
      <x:c r="F266" s="1"/>
      <x:c r="G266"/>
      <x:c r="H266"/>
    </x:row>
    <x:row r="267" ht="18" customHeight="1">
      <x:c r="A267" s="13" t="str">
        <x:v>TC-39 - As a system admin, I want to enforce password requirements so that user accounts meet security standards.</x:v>
      </x:c>
      <x:c r="B267" s="13"/>
      <x:c r="C267" s="13"/>
      <x:c r="D267" s="13"/>
      <x:c r="E267" s="13"/>
      <x:c r="F267" s="17"/>
      <x:c r="G267" s="13"/>
      <x:c r="H267" s="13"/>
    </x:row>
    <x:row r="268" ht="15" customHeight="1">
      <x:c r="A268" s="2" t="str">
        <x:v>System Name</x:v>
      </x:c>
      <x:c r="B268" s="14" t="str">
        <x:v>Lazarus</x:v>
      </x:c>
      <x:c r="C268" s="14"/>
      <x:c r="D268" s="14"/>
      <x:c r="E268" s="14"/>
      <x:c r="F268" s="18"/>
      <x:c r="G268" s="14"/>
      <x:c r="H268" s="14"/>
    </x:row>
    <x:row r="269" ht="15" customHeight="1">
      <x:c r="A269" s="2" t="str">
        <x:v>Module Code</x:v>
      </x:c>
      <x:c r="B269" s="14" t="str">
        <x:v>CSIT321</x:v>
      </x:c>
      <x:c r="C269" s="14"/>
      <x:c r="D269" s="14"/>
      <x:c r="E269" s="14"/>
      <x:c r="F269" s="18"/>
      <x:c r="G269" s="14"/>
      <x:c r="H269" s="14"/>
    </x:row>
    <x:row r="270" ht="25.5" customHeight="1">
      <x:c r="A270" s="2" t="str">
        <x:v>User Story</x:v>
      </x:c>
      <x:c r="B270" s="14" t="str">
        <x:v>39. As a system admin, I want to enforce password requirements so that user accounts meet security standards.</x:v>
      </x:c>
      <x:c r="C270" s="14"/>
      <x:c r="D270" s="14"/>
      <x:c r="E270" s="14"/>
      <x:c r="F270" s="18"/>
      <x:c r="G270" s="14"/>
      <x:c r="H270" s="14"/>
    </x:row>
    <x:row r="271" ht="70.5" customHeight="1">
      <x:c r="A271" s="2" t="str">
        <x:v>Preconditions</x:v>
      </x:c>
      <x:c r="B271"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271" s="14"/>
      <x:c r="D271" s="14"/>
      <x:c r="E271" s="14"/>
      <x:c r="F271" s="18"/>
      <x:c r="G271" s="14"/>
      <x:c r="H271" s="14"/>
    </x:row>
    <x:row r="272" ht="63" customHeight="1">
      <x:c r="A272" s="2" t="str">
        <x:v>Test Requirement</x:v>
      </x:c>
      <x:c r="B272" s="14" t="str">
        <x:v>1. Have System Admin access to password-policy settings.
2. For validation, ensure inconsistent minimum and maximum values are rejected.
3. For the alternate case, ensure number and special-character requirements remain enabled.</x:v>
      </x:c>
      <x:c r="C272" s="14"/>
      <x:c r="D272" s="14"/>
      <x:c r="E272" s="14"/>
      <x:c r="F272" s="18"/>
      <x:c r="G272" s="14"/>
      <x:c r="H272" s="14"/>
    </x:row>
    <x:row r="273" ht="28.5" customHeight="1">
      <x:c r="A273" s="2" t="str">
        <x:v>Purpose</x:v>
      </x:c>
      <x:c r="B273" s="14" t="str">
        <x:v>Verify password-policy enforcement settings.</x:v>
      </x:c>
      <x:c r="C273" s="14"/>
      <x:c r="D273" s="14"/>
      <x:c r="E273" s="14"/>
      <x:c r="F273" s="18"/>
      <x:c r="G273" s="14"/>
      <x:c r="H273" s="14"/>
    </x:row>
    <x:row r="274" ht="15" customHeight="1">
      <x:c r="A274" s="2" t="str">
        <x:v>Pass</x:v>
      </x:c>
      <x:c r="B274" s="15" t="n">
        <x:v>3</x:v>
      </x:c>
      <x:c r="C274" s="15"/>
      <x:c r="D274" s="15"/>
      <x:c r="E274" s="15"/>
      <x:c r="F274" s="15"/>
      <x:c r="G274" s="15"/>
      <x:c r="H274" s="15"/>
    </x:row>
    <x:row r="275" ht="15" customHeight="1">
      <x:c r="A275" s="2" t="str">
        <x:v>Fail</x:v>
      </x:c>
      <x:c r="B275" s="15" t="n">
        <x:v>0</x:v>
      </x:c>
      <x:c r="C275" s="15"/>
      <x:c r="D275" s="15"/>
      <x:c r="E275" s="15"/>
      <x:c r="F275" s="15"/>
      <x:c r="G275" s="15"/>
      <x:c r="H275" s="15"/>
    </x:row>
    <x:row r="276" ht="15" customHeight="1">
      <x:c r="A276" s="2" t="str">
        <x:v>Pending</x:v>
      </x:c>
      <x:c r="B276" s="15" t="n">
        <x:v>0</x:v>
      </x:c>
      <x:c r="C276" s="15"/>
      <x:c r="D276" s="15"/>
      <x:c r="E276" s="15"/>
      <x:c r="F276" s="15"/>
      <x:c r="G276" s="15"/>
      <x:c r="H276" s="15"/>
    </x:row>
    <x:row r="277" ht="30" customHeight="1">
      <x:c r="A277" s="11" t="str">
        <x:v>Number of test cases</x:v>
      </x:c>
      <x:c r="B277" s="16" t="n">
        <x:v>3</x:v>
      </x:c>
      <x:c r="C277" s="16"/>
      <x:c r="D277" s="16"/>
      <x:c r="E277" s="16"/>
      <x:c r="F277" s="16"/>
      <x:c r="G277" s="16"/>
      <x:c r="H277" s="16"/>
    </x:row>
    <x:row r="278" ht="7.5" customHeight="1">
      <x:c r="A278" s="3"/>
      <x:c r="B278" s="3"/>
      <x:c r="C278" s="3"/>
      <x:c r="D278" s="3"/>
      <x:c r="E278" s="3"/>
      <x:c r="F278" s="4"/>
      <x:c r="G278" s="3"/>
      <x:c r="H278" s="3"/>
    </x:row>
    <x:row r="279" ht="7.5" customHeight="1">
      <x:c r="A279" s="3"/>
      <x:c r="B279" s="3"/>
      <x:c r="C279" s="3"/>
      <x:c r="D279" s="3"/>
      <x:c r="E279" s="3"/>
      <x:c r="F279" s="4"/>
      <x:c r="G279" s="3"/>
      <x:c r="H279" s="3"/>
    </x:row>
    <x:row r="280" ht="24" customHeight="1">
      <x:c r="A280" s="6" t="str">
        <x:v>ID</x:v>
      </x:c>
      <x:c r="B280" s="6" t="str">
        <x:v>Test Case Description</x:v>
      </x:c>
      <x:c r="C280" s="6" t="str">
        <x:v>Test Case Procedure</x:v>
      </x:c>
      <x:c r="D280" s="6" t="str">
        <x:v>Expected Output</x:v>
      </x:c>
      <x:c r="E280" s="6" t="str">
        <x:v>Actual Output</x:v>
      </x:c>
      <x:c r="F280" s="8" t="str">
        <x:v>Test Date</x:v>
      </x:c>
      <x:c r="G280" s="6" t="str">
        <x:v>Result</x:v>
      </x:c>
      <x:c r="H280" s="6" t="str">
        <x:v>Note</x:v>
      </x:c>
    </x:row>
    <x:row r="281" ht="21" customHeight="1">
      <x:c r="A281" s="13" t="str">
        <x:v>Sprint 3 US39 - As a system admin, I want to enforce password requirements so that user accounts meet security standards.</x:v>
      </x:c>
      <x:c r="B281" s="13"/>
      <x:c r="C281" s="13"/>
      <x:c r="D281" s="13"/>
      <x:c r="E281" s="13"/>
      <x:c r="F281" s="17"/>
      <x:c r="G281" s="13"/>
      <x:c r="H281" s="13"/>
    </x:row>
    <x:row r="282" ht="64.5" customHeight="1">
      <x:c r="A282" s="3" t="str">
        <x:v>TC-39-1</x:v>
      </x:c>
      <x:c r="B282" s="3" t="str">
        <x:v>Main - Update password policy</x:v>
      </x:c>
      <x:c r="C282" s="3" t="str">
        <x:v>Change minimum password length from 8 to 9.</x:v>
      </x:c>
      <x:c r="D282" s="3" t="str">
        <x:v>The policy updates.</x:v>
      </x:c>
      <x:c r="E282" s="3" t="str">
        <x:v>The page displayed ("Password policy updated.") and ("9-64 characters, number required, special character required").</x:v>
      </x:c>
      <x:c r="F282" s="7" t="n">
        <x:v>46230</x:v>
      </x:c>
      <x:c r="G282" s="5" t="str">
        <x:v>Pass</x:v>
      </x:c>
      <x:c r="H282" s="3" t="str">
        <x:v>Temporarily changed the minimum to 9 characters.</x:v>
      </x:c>
    </x:row>
    <x:row r="283" ht="64.5" customHeight="1">
      <x:c r="A283" s="3" t="str">
        <x:v>TC-39-2</x:v>
      </x:c>
      <x:c r="B283" s="3" t="str">
        <x:v>Validation - Invalid range</x:v>
      </x:c>
      <x:c r="C283" s="3" t="str">
        <x:v>Set minimum length to 70 while maximum is 64.</x:v>
      </x:c>
      <x:c r="D283" s="3" t="str">
        <x:v>The change is rejected.</x:v>
      </x:c>
      <x:c r="E283" s="3" t="str">
        <x:v>The page displayed ("Unable to update password policy. Check the policy values.").</x:v>
      </x:c>
      <x:c r="F283" s="7" t="n">
        <x:v>46230</x:v>
      </x:c>
      <x:c r="G283" s="5" t="str">
        <x:v>Pass</x:v>
      </x:c>
      <x:c r="H283" s="3" t="str">
        <x:v>Observed the invalid-range policy response.</x:v>
      </x:c>
    </x:row>
    <x:row r="284" ht="64.5" customHeight="1">
      <x:c r="A284" s="3" t="str">
        <x:v>TC-39-3</x:v>
      </x:c>
      <x:c r="B284" s="3" t="str">
        <x:v>Alternate - Restore policy</x:v>
      </x:c>
      <x:c r="C284" s="3" t="str">
        <x:v>Restore minimum length to 8 and keep both requirement boxes selected.</x:v>
      </x:c>
      <x:c r="D284" s="3" t="str">
        <x:v>The original policy is restored.</x:v>
      </x:c>
      <x:c r="E284" s="3" t="str">
        <x:v>The page displayed ("8-64 characters, number required, special character required").</x:v>
      </x:c>
      <x:c r="F284" s="7" t="n">
        <x:v>46230</x:v>
      </x:c>
      <x:c r="G284" s="5" t="str">
        <x:v>Pass</x:v>
      </x:c>
      <x:c r="H284" s="3" t="str">
        <x:v>Restored the original password policy afterward.</x:v>
      </x:c>
    </x:row>
    <x:row r="285" ht="18" customHeight="1">
      <x:c r="A285"/>
      <x:c r="B285"/>
      <x:c r="C285"/>
      <x:c r="D285"/>
      <x:c r="E285"/>
      <x:c r="F285" s="1"/>
      <x:c r="G285"/>
      <x:c r="H285"/>
    </x:row>
    <x:row r="286" ht="18" customHeight="1">
      <x:c r="A286" s="13" t="str">
        <x:v>TC-40 - As a system admin, I want to enforce username requirements so that user accounts follow defined naming rules.</x:v>
      </x:c>
      <x:c r="B286" s="13"/>
      <x:c r="C286" s="13"/>
      <x:c r="D286" s="13"/>
      <x:c r="E286" s="13"/>
      <x:c r="F286" s="17"/>
      <x:c r="G286" s="13"/>
      <x:c r="H286" s="13"/>
    </x:row>
    <x:row r="287" ht="15" customHeight="1">
      <x:c r="A287" s="2" t="str">
        <x:v>System Name</x:v>
      </x:c>
      <x:c r="B287" s="14" t="str">
        <x:v>Lazarus</x:v>
      </x:c>
      <x:c r="C287" s="14"/>
      <x:c r="D287" s="14"/>
      <x:c r="E287" s="14"/>
      <x:c r="F287" s="18"/>
      <x:c r="G287" s="14"/>
      <x:c r="H287" s="14"/>
    </x:row>
    <x:row r="288" ht="15" customHeight="1">
      <x:c r="A288" s="2" t="str">
        <x:v>Module Code</x:v>
      </x:c>
      <x:c r="B288" s="14" t="str">
        <x:v>CSIT321</x:v>
      </x:c>
      <x:c r="C288" s="14"/>
      <x:c r="D288" s="14"/>
      <x:c r="E288" s="14"/>
      <x:c r="F288" s="18"/>
      <x:c r="G288" s="14"/>
      <x:c r="H288" s="14"/>
    </x:row>
    <x:row r="289" ht="25.5" customHeight="1">
      <x:c r="A289" s="2" t="str">
        <x:v>User Story</x:v>
      </x:c>
      <x:c r="B289" s="14" t="str">
        <x:v>40. As a system admin, I want to enforce username requirements so that user accounts follow defined naming rules.</x:v>
      </x:c>
      <x:c r="C289" s="14"/>
      <x:c r="D289" s="14"/>
      <x:c r="E289" s="14"/>
      <x:c r="F289" s="18"/>
      <x:c r="G289" s="14"/>
      <x:c r="H289" s="14"/>
    </x:row>
    <x:row r="290" ht="70.5" customHeight="1">
      <x:c r="A290" s="2" t="str">
        <x:v>Preconditions</x:v>
      </x:c>
      <x:c r="B290"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290" s="14"/>
      <x:c r="D290" s="14"/>
      <x:c r="E290" s="14"/>
      <x:c r="F290" s="18"/>
      <x:c r="G290" s="14"/>
      <x:c r="H290" s="14"/>
    </x:row>
    <x:row r="291" ht="63" customHeight="1">
      <x:c r="A291" s="2" t="str">
        <x:v>Test Requirement</x:v>
      </x:c>
      <x:c r="B291" s="14" t="str">
        <x:v>1. Have System Admin access to username-policy settings.
2. For validation, ensure maximum length cannot be lower than minimum length.
3. For the alternate case, ensure the original username range can be restored.</x:v>
      </x:c>
      <x:c r="C291" s="14"/>
      <x:c r="D291" s="14"/>
      <x:c r="E291" s="14"/>
      <x:c r="F291" s="18"/>
      <x:c r="G291" s="14"/>
      <x:c r="H291" s="14"/>
    </x:row>
    <x:row r="292" ht="28.5" customHeight="1">
      <x:c r="A292" s="2" t="str">
        <x:v>Purpose</x:v>
      </x:c>
      <x:c r="B292" s="14" t="str">
        <x:v>Verify username-policy enforcement settings.</x:v>
      </x:c>
      <x:c r="C292" s="14"/>
      <x:c r="D292" s="14"/>
      <x:c r="E292" s="14"/>
      <x:c r="F292" s="18"/>
      <x:c r="G292" s="14"/>
      <x:c r="H292" s="14"/>
    </x:row>
    <x:row r="293" ht="15" customHeight="1">
      <x:c r="A293" s="2" t="str">
        <x:v>Pass</x:v>
      </x:c>
      <x:c r="B293" s="15" t="n">
        <x:v>3</x:v>
      </x:c>
      <x:c r="C293" s="15"/>
      <x:c r="D293" s="15"/>
      <x:c r="E293" s="15"/>
      <x:c r="F293" s="15"/>
      <x:c r="G293" s="15"/>
      <x:c r="H293" s="15"/>
    </x:row>
    <x:row r="294" ht="15" customHeight="1">
      <x:c r="A294" s="2" t="str">
        <x:v>Fail</x:v>
      </x:c>
      <x:c r="B294" s="15" t="n">
        <x:v>0</x:v>
      </x:c>
      <x:c r="C294" s="15"/>
      <x:c r="D294" s="15"/>
      <x:c r="E294" s="15"/>
      <x:c r="F294" s="15"/>
      <x:c r="G294" s="15"/>
      <x:c r="H294" s="15"/>
    </x:row>
    <x:row r="295" ht="15" customHeight="1">
      <x:c r="A295" s="2" t="str">
        <x:v>Pending</x:v>
      </x:c>
      <x:c r="B295" s="15" t="n">
        <x:v>0</x:v>
      </x:c>
      <x:c r="C295" s="15"/>
      <x:c r="D295" s="15"/>
      <x:c r="E295" s="15"/>
      <x:c r="F295" s="15"/>
      <x:c r="G295" s="15"/>
      <x:c r="H295" s="15"/>
    </x:row>
    <x:row r="296" ht="30" customHeight="1">
      <x:c r="A296" s="11" t="str">
        <x:v>Number of test cases</x:v>
      </x:c>
      <x:c r="B296" s="16" t="n">
        <x:v>3</x:v>
      </x:c>
      <x:c r="C296" s="16"/>
      <x:c r="D296" s="16"/>
      <x:c r="E296" s="16"/>
      <x:c r="F296" s="16"/>
      <x:c r="G296" s="16"/>
      <x:c r="H296" s="16"/>
    </x:row>
    <x:row r="297" ht="7.5" customHeight="1">
      <x:c r="A297" s="3"/>
      <x:c r="B297" s="3"/>
      <x:c r="C297" s="3"/>
      <x:c r="D297" s="3"/>
      <x:c r="E297" s="3"/>
      <x:c r="F297" s="4"/>
      <x:c r="G297" s="3"/>
      <x:c r="H297" s="3"/>
    </x:row>
    <x:row r="298" ht="7.5" customHeight="1">
      <x:c r="A298" s="3"/>
      <x:c r="B298" s="3"/>
      <x:c r="C298" s="3"/>
      <x:c r="D298" s="3"/>
      <x:c r="E298" s="3"/>
      <x:c r="F298" s="4"/>
      <x:c r="G298" s="3"/>
      <x:c r="H298" s="3"/>
    </x:row>
    <x:row r="299" ht="24" customHeight="1">
      <x:c r="A299" s="6" t="str">
        <x:v>ID</x:v>
      </x:c>
      <x:c r="B299" s="6" t="str">
        <x:v>Test Case Description</x:v>
      </x:c>
      <x:c r="C299" s="6" t="str">
        <x:v>Test Case Procedure</x:v>
      </x:c>
      <x:c r="D299" s="6" t="str">
        <x:v>Expected Output</x:v>
      </x:c>
      <x:c r="E299" s="6" t="str">
        <x:v>Actual Output</x:v>
      </x:c>
      <x:c r="F299" s="8" t="str">
        <x:v>Test Date</x:v>
      </x:c>
      <x:c r="G299" s="6" t="str">
        <x:v>Result</x:v>
      </x:c>
      <x:c r="H299" s="6" t="str">
        <x:v>Note</x:v>
      </x:c>
    </x:row>
    <x:row r="300" ht="21" customHeight="1">
      <x:c r="A300" s="13" t="str">
        <x:v>Sprint 3 US40 - As a system admin, I want to enforce username requirements so that user accounts follow defined naming rules.</x:v>
      </x:c>
      <x:c r="B300" s="13"/>
      <x:c r="C300" s="13"/>
      <x:c r="D300" s="13"/>
      <x:c r="E300" s="13"/>
      <x:c r="F300" s="17"/>
      <x:c r="G300" s="13"/>
      <x:c r="H300" s="13"/>
    </x:row>
    <x:row r="301" ht="64.5" customHeight="1">
      <x:c r="A301" s="3" t="str">
        <x:v>TC-40-1</x:v>
      </x:c>
      <x:c r="B301" s="3" t="str">
        <x:v>Main - Update username policy</x:v>
      </x:c>
      <x:c r="C301" s="3" t="str">
        <x:v>Change minimum username length from 4 to 5.</x:v>
      </x:c>
      <x:c r="D301" s="3" t="str">
        <x:v>The policy updates.</x:v>
      </x:c>
      <x:c r="E301" s="3" t="str">
        <x:v>The page displayed ("Username policy updated.") and ("5-50 characters").</x:v>
      </x:c>
      <x:c r="F301" s="7" t="n">
        <x:v>46233</x:v>
      </x:c>
      <x:c r="G301" s="5" t="str">
        <x:v>Pass</x:v>
      </x:c>
      <x:c r="H301" s="3" t="str">
        <x:v>Temporarily changed the minimum to 5 characters.</x:v>
      </x:c>
    </x:row>
    <x:row r="302" ht="64.5" customHeight="1">
      <x:c r="A302" s="3" t="str">
        <x:v>TC-40-2</x:v>
      </x:c>
      <x:c r="B302" s="3" t="str">
        <x:v>Validation - Invalid range</x:v>
      </x:c>
      <x:c r="C302" s="3" t="str">
        <x:v>Set minimum length to 4 and maximum length to 3.</x:v>
      </x:c>
      <x:c r="D302" s="3" t="str">
        <x:v>The change is rejected.</x:v>
      </x:c>
      <x:c r="E302" s="3" t="str">
        <x:v>The page displayed ("Unable to update username policy. Check the policy values.").</x:v>
      </x:c>
      <x:c r="F302" s="7" t="n">
        <x:v>46233</x:v>
      </x:c>
      <x:c r="G302" s="5" t="str">
        <x:v>Pass</x:v>
      </x:c>
      <x:c r="H302" s="3" t="str">
        <x:v>Observed the invalid-range policy response.</x:v>
      </x:c>
    </x:row>
    <x:row r="303" ht="64.5" customHeight="1">
      <x:c r="A303" s="3" t="str">
        <x:v>TC-40-3</x:v>
      </x:c>
      <x:c r="B303" s="3" t="str">
        <x:v>Alternate - Restore policy</x:v>
      </x:c>
      <x:c r="C303" s="3" t="str">
        <x:v>Restore the minimum to 4 and maximum to 50.</x:v>
      </x:c>
      <x:c r="D303" s="3" t="str">
        <x:v>The original policy is restored.</x:v>
      </x:c>
      <x:c r="E303" s="3" t="str">
        <x:v>The page displayed ("4-50 characters").</x:v>
      </x:c>
      <x:c r="F303" s="7" t="n">
        <x:v>46233</x:v>
      </x:c>
      <x:c r="G303" s="5" t="str">
        <x:v>Pass</x:v>
      </x:c>
      <x:c r="H303" s="3" t="str">
        <x:v>Restored the original username policy afterward.</x:v>
      </x:c>
    </x:row>
    <x:row r="304" ht="18" customHeight="1">
      <x:c r="A304"/>
      <x:c r="B304"/>
      <x:c r="C304"/>
      <x:c r="D304"/>
      <x:c r="E304"/>
      <x:c r="F304" s="1"/>
      <x:c r="G304"/>
      <x:c r="H304"/>
    </x:row>
    <x:row r="305" ht="18" customHeight="1">
      <x:c r="A305" s="13" t="str">
        <x:v>TC-41 - As a system admin, I want to enforce authentication policies so that user accounts are protected from unauthorised access.</x:v>
      </x:c>
      <x:c r="B305" s="13"/>
      <x:c r="C305" s="13"/>
      <x:c r="D305" s="13"/>
      <x:c r="E305" s="13"/>
      <x:c r="F305" s="17"/>
      <x:c r="G305" s="13"/>
      <x:c r="H305" s="13"/>
    </x:row>
    <x:row r="306" ht="15" customHeight="1">
      <x:c r="A306" s="2" t="str">
        <x:v>System Name</x:v>
      </x:c>
      <x:c r="B306" s="14" t="str">
        <x:v>Lazarus</x:v>
      </x:c>
      <x:c r="C306" s="14"/>
      <x:c r="D306" s="14"/>
      <x:c r="E306" s="14"/>
      <x:c r="F306" s="18"/>
      <x:c r="G306" s="14"/>
      <x:c r="H306" s="14"/>
    </x:row>
    <x:row r="307" ht="15" customHeight="1">
      <x:c r="A307" s="2" t="str">
        <x:v>Module Code</x:v>
      </x:c>
      <x:c r="B307" s="14" t="str">
        <x:v>CSIT321</x:v>
      </x:c>
      <x:c r="C307" s="14"/>
      <x:c r="D307" s="14"/>
      <x:c r="E307" s="14"/>
      <x:c r="F307" s="18"/>
      <x:c r="G307" s="14"/>
      <x:c r="H307" s="14"/>
    </x:row>
    <x:row r="308" ht="25.5" customHeight="1">
      <x:c r="A308" s="2" t="str">
        <x:v>User Story</x:v>
      </x:c>
      <x:c r="B308" s="14" t="str">
        <x:v>41. As a system admin, I want to enforce authentication policies so that user accounts are protected from unauthorised access.</x:v>
      </x:c>
      <x:c r="C308" s="14"/>
      <x:c r="D308" s="14"/>
      <x:c r="E308" s="14"/>
      <x:c r="F308" s="18"/>
      <x:c r="G308" s="14"/>
      <x:c r="H308" s="14"/>
    </x:row>
    <x:row r="309" ht="70.5" customHeight="1">
      <x:c r="A309" s="2" t="str">
        <x:v>Preconditions</x:v>
      </x:c>
      <x:c r="B309" s="14" t="str">
        <x:v>1. Lazarus is running locally at http://127.0.0.1:5000.
2. MySQL and the required test data are available.
3. The correct User or System Admin account is active.
4. Local encryption, fragment storage, and mail capture are enabled where required.
5. Disposable data is used for state-changing checks.</x:v>
      </x:c>
      <x:c r="C309" s="14"/>
      <x:c r="D309" s="14"/>
      <x:c r="E309" s="14"/>
      <x:c r="F309" s="18"/>
      <x:c r="G309" s="14"/>
      <x:c r="H309" s="14"/>
    </x:row>
    <x:row r="310" ht="63" customHeight="1">
      <x:c r="A310" s="2" t="str">
        <x:v>Test Requirement</x:v>
      </x:c>
      <x:c r="B310" s="14" t="str">
        <x:v>1. Have System Admin access to authentication-policy settings.
2. For validation, ensure values outside the allowed range are not saved.
3. For the alternate case, ensure the original attempt limit can be restored.</x:v>
      </x:c>
      <x:c r="C310" s="14"/>
      <x:c r="D310" s="14"/>
      <x:c r="E310" s="14"/>
      <x:c r="F310" s="18"/>
      <x:c r="G310" s="14"/>
      <x:c r="H310" s="14"/>
    </x:row>
    <x:row r="311" ht="28.5" customHeight="1">
      <x:c r="A311" s="2" t="str">
        <x:v>Purpose</x:v>
      </x:c>
      <x:c r="B311" s="14" t="str">
        <x:v>Verify failed-login-attempt policy configuration.</x:v>
      </x:c>
      <x:c r="C311" s="14"/>
      <x:c r="D311" s="14"/>
      <x:c r="E311" s="14"/>
      <x:c r="F311" s="18"/>
      <x:c r="G311" s="14"/>
      <x:c r="H311" s="14"/>
    </x:row>
    <x:row r="312" ht="15" customHeight="1">
      <x:c r="A312" s="2" t="str">
        <x:v>Pass</x:v>
      </x:c>
      <x:c r="B312" s="15" t="n">
        <x:v>3</x:v>
      </x:c>
      <x:c r="C312" s="15"/>
      <x:c r="D312" s="15"/>
      <x:c r="E312" s="15"/>
      <x:c r="F312" s="15"/>
      <x:c r="G312" s="15"/>
      <x:c r="H312" s="15"/>
    </x:row>
    <x:row r="313" ht="15" customHeight="1">
      <x:c r="A313" s="2" t="str">
        <x:v>Fail</x:v>
      </x:c>
      <x:c r="B313" s="15" t="n">
        <x:v>0</x:v>
      </x:c>
      <x:c r="C313" s="15"/>
      <x:c r="D313" s="15"/>
      <x:c r="E313" s="15"/>
      <x:c r="F313" s="15"/>
      <x:c r="G313" s="15"/>
      <x:c r="H313" s="15"/>
    </x:row>
    <x:row r="314" ht="15" customHeight="1">
      <x:c r="A314" s="2" t="str">
        <x:v>Pending</x:v>
      </x:c>
      <x:c r="B314" s="15" t="n">
        <x:v>0</x:v>
      </x:c>
      <x:c r="C314" s="15"/>
      <x:c r="D314" s="15"/>
      <x:c r="E314" s="15"/>
      <x:c r="F314" s="15"/>
      <x:c r="G314" s="15"/>
      <x:c r="H314" s="15"/>
    </x:row>
    <x:row r="315" ht="30" customHeight="1">
      <x:c r="A315" s="11" t="str">
        <x:v>Number of test cases</x:v>
      </x:c>
      <x:c r="B315" s="16" t="n">
        <x:v>3</x:v>
      </x:c>
      <x:c r="C315" s="16"/>
      <x:c r="D315" s="16"/>
      <x:c r="E315" s="16"/>
      <x:c r="F315" s="16"/>
      <x:c r="G315" s="16"/>
      <x:c r="H315" s="16"/>
    </x:row>
    <x:row r="316" ht="7.5" customHeight="1">
      <x:c r="A316" s="3"/>
      <x:c r="B316" s="3"/>
      <x:c r="C316" s="3"/>
      <x:c r="D316" s="3"/>
      <x:c r="E316" s="3"/>
      <x:c r="F316" s="4"/>
      <x:c r="G316" s="3"/>
      <x:c r="H316" s="3"/>
    </x:row>
    <x:row r="317" ht="7.5" customHeight="1">
      <x:c r="A317" s="3"/>
      <x:c r="B317" s="3"/>
      <x:c r="C317" s="3"/>
      <x:c r="D317" s="3"/>
      <x:c r="E317" s="3"/>
      <x:c r="F317" s="4"/>
      <x:c r="G317" s="3"/>
      <x:c r="H317" s="3"/>
    </x:row>
    <x:row r="318" ht="24" customHeight="1">
      <x:c r="A318" s="6" t="str">
        <x:v>ID</x:v>
      </x:c>
      <x:c r="B318" s="6" t="str">
        <x:v>Test Case Description</x:v>
      </x:c>
      <x:c r="C318" s="6" t="str">
        <x:v>Test Case Procedure</x:v>
      </x:c>
      <x:c r="D318" s="6" t="str">
        <x:v>Expected Output</x:v>
      </x:c>
      <x:c r="E318" s="6" t="str">
        <x:v>Actual Output</x:v>
      </x:c>
      <x:c r="F318" s="8" t="str">
        <x:v>Test Date</x:v>
      </x:c>
      <x:c r="G318" s="6" t="str">
        <x:v>Result</x:v>
      </x:c>
      <x:c r="H318" s="6" t="str">
        <x:v>Note</x:v>
      </x:c>
    </x:row>
    <x:row r="319" ht="21" customHeight="1">
      <x:c r="A319" s="13" t="str">
        <x:v>Sprint 3 US41 - As a system admin, I want to enforce authentication policies so that user accounts are protected from unauthorised access.</x:v>
      </x:c>
      <x:c r="B319" s="13"/>
      <x:c r="C319" s="13"/>
      <x:c r="D319" s="13"/>
      <x:c r="E319" s="13"/>
      <x:c r="F319" s="17"/>
      <x:c r="G319" s="13"/>
      <x:c r="H319" s="13"/>
    </x:row>
    <x:row r="320" ht="64.5" customHeight="1">
      <x:c r="A320" s="3" t="str">
        <x:v>TC-41-1</x:v>
      </x:c>
      <x:c r="B320" s="3" t="str">
        <x:v>Main - Update attempt limit</x:v>
      </x:c>
      <x:c r="C320" s="3" t="str">
        <x:v>Change maximum failed login attempts from 5 to 4.</x:v>
      </x:c>
      <x:c r="D320" s="3" t="str">
        <x:v>The policy updates.</x:v>
      </x:c>
      <x:c r="E320" s="3" t="str">
        <x:v>The page displayed ("Authentication policy updated.") and ("Maximum 4 failed login attempts").</x:v>
      </x:c>
      <x:c r="F320" s="7" t="n">
        <x:v>46236</x:v>
      </x:c>
      <x:c r="G320" s="5" t="str">
        <x:v>Pass</x:v>
      </x:c>
      <x:c r="H320" s="3" t="str">
        <x:v>Temporarily changed the limit to four attempts.</x:v>
      </x:c>
    </x:row>
    <x:row r="321" ht="64.5" customHeight="1">
      <x:c r="A321" s="3" t="str">
        <x:v>TC-41-2</x:v>
      </x:c>
      <x:c r="B321" s="3" t="str">
        <x:v>Validation - Out-of-range value</x:v>
      </x:c>
      <x:c r="C321" s="3" t="str">
        <x:v>Enter 50 failed attempts and attempt to submit.</x:v>
      </x:c>
      <x:c r="D321" s="3" t="str">
        <x:v>The browser prevents the out-of-range value from being saved.</x:v>
      </x:c>
      <x:c r="E321" s="3" t="str">
        <x:v>The summary remained at the last valid maximum and did not change to 50.</x:v>
      </x:c>
      <x:c r="F321" s="7" t="n">
        <x:v>46236</x:v>
      </x:c>
      <x:c r="G321" s="5" t="str">
        <x:v>Pass</x:v>
      </x:c>
      <x:c r="H321" s="3" t="str">
        <x:v>Confirmed the out-of-range value was not saved.</x:v>
      </x:c>
    </x:row>
    <x:row r="322" ht="64.5" customHeight="1">
      <x:c r="A322" s="3" t="str">
        <x:v>TC-41-3</x:v>
      </x:c>
      <x:c r="B322" s="3" t="str">
        <x:v>Alternate - Restore attempt limit</x:v>
      </x:c>
      <x:c r="C322" s="3" t="str">
        <x:v>Restore the maximum to 5.</x:v>
      </x:c>
      <x:c r="D322" s="3" t="str">
        <x:v>The original policy is restored.</x:v>
      </x:c>
      <x:c r="E322" s="3" t="str">
        <x:v>The page displayed ("Maximum 5 failed login attempts").</x:v>
      </x:c>
      <x:c r="F322" s="7" t="n">
        <x:v>46236</x:v>
      </x:c>
      <x:c r="G322" s="5" t="str">
        <x:v>Pass</x:v>
      </x:c>
      <x:c r="H322" s="3" t="str">
        <x:v>Restored the original five-attempt limit afterward.</x:v>
      </x:c>
    </x:row>
    <x:row r="323" ht="18" customHeight="1"/>
    <x:row r="324" ht="18" customHeight="1">
      <x:c r="A324" s="13"/>
      <x:c r="B324" s="13"/>
      <x:c r="C324" s="13"/>
      <x:c r="D324" s="13"/>
      <x:c r="E324" s="13"/>
      <x:c r="F324" s="13"/>
      <x:c r="G324" s="13"/>
      <x:c r="H324" s="13"/>
    </x:row>
    <x:row r="325" ht="15" customHeight="1">
      <x:c r="A325" s="9"/>
      <x:c r="B325" s="14"/>
      <x:c r="C325" s="14"/>
      <x:c r="D325" s="14"/>
      <x:c r="E325" s="14"/>
      <x:c r="F325" s="14"/>
      <x:c r="G325" s="14"/>
      <x:c r="H325" s="14"/>
    </x:row>
    <x:row r="326" ht="15" customHeight="1">
      <x:c r="A326" s="9"/>
      <x:c r="B326" s="14"/>
      <x:c r="C326" s="14"/>
      <x:c r="D326" s="14"/>
      <x:c r="E326" s="14"/>
      <x:c r="F326" s="14"/>
      <x:c r="G326" s="14"/>
      <x:c r="H326" s="14"/>
    </x:row>
    <x:row r="327" ht="25.5" customHeight="1">
      <x:c r="A327" s="9"/>
      <x:c r="B327" s="14"/>
      <x:c r="C327" s="14"/>
      <x:c r="D327" s="14"/>
      <x:c r="E327" s="14"/>
      <x:c r="F327" s="14"/>
      <x:c r="G327" s="14"/>
      <x:c r="H327" s="14"/>
    </x:row>
    <x:row r="328" ht="70.5" customHeight="1">
      <x:c r="A328" s="9"/>
      <x:c r="B328" s="14"/>
      <x:c r="C328" s="14"/>
      <x:c r="D328" s="14"/>
      <x:c r="E328" s="14"/>
      <x:c r="F328" s="14"/>
      <x:c r="G328" s="14"/>
      <x:c r="H328" s="14"/>
    </x:row>
    <x:row r="329" ht="63" customHeight="1">
      <x:c r="A329" s="9"/>
      <x:c r="B329" s="14"/>
      <x:c r="C329" s="14"/>
      <x:c r="D329" s="14"/>
      <x:c r="E329" s="14"/>
      <x:c r="F329" s="14"/>
      <x:c r="G329" s="14"/>
      <x:c r="H329" s="14"/>
    </x:row>
    <x:row r="330" ht="28.5" customHeight="1">
      <x:c r="A330" s="9"/>
      <x:c r="B330" s="14"/>
      <x:c r="C330" s="14"/>
      <x:c r="D330" s="14"/>
      <x:c r="E330" s="14"/>
      <x:c r="F330" s="14"/>
      <x:c r="G330" s="14"/>
      <x:c r="H330" s="14"/>
    </x:row>
    <x:row r="331" ht="15" customHeight="1">
      <x:c r="A331" s="9"/>
      <x:c r="B331" s="15"/>
      <x:c r="C331" s="15"/>
      <x:c r="D331" s="15"/>
      <x:c r="E331" s="15"/>
      <x:c r="F331" s="15"/>
      <x:c r="G331" s="15"/>
      <x:c r="H331" s="15"/>
    </x:row>
    <x:row r="332" ht="15" customHeight="1">
      <x:c r="A332" s="9"/>
      <x:c r="B332" s="15"/>
      <x:c r="C332" s="15"/>
      <x:c r="D332" s="15"/>
      <x:c r="E332" s="15"/>
      <x:c r="F332" s="15"/>
      <x:c r="G332" s="15"/>
      <x:c r="H332" s="15"/>
    </x:row>
    <x:row r="333" ht="15" customHeight="1">
      <x:c r="A333" s="9"/>
      <x:c r="B333" s="15"/>
      <x:c r="C333" s="15"/>
      <x:c r="D333" s="15"/>
      <x:c r="E333" s="15"/>
      <x:c r="F333" s="15"/>
      <x:c r="G333" s="15"/>
      <x:c r="H333" s="15"/>
    </x:row>
    <x:row r="334" ht="30" customHeight="1">
      <x:c r="A334" s="12"/>
      <x:c r="B334" s="16"/>
      <x:c r="C334" s="16"/>
      <x:c r="D334" s="16"/>
      <x:c r="E334" s="16"/>
      <x:c r="F334" s="16"/>
      <x:c r="G334" s="16"/>
      <x:c r="H334" s="16"/>
    </x:row>
    <x:row r="335" ht="7.5" customHeight="1">
      <x:c r="A335" s="3"/>
      <x:c r="B335" s="3"/>
      <x:c r="C335" s="3"/>
      <x:c r="D335" s="3"/>
      <x:c r="E335" s="3"/>
      <x:c r="F335" s="3"/>
      <x:c r="G335" s="3"/>
      <x:c r="H335" s="3"/>
    </x:row>
    <x:row r="336" ht="7.5" customHeight="1">
      <x:c r="A336" s="3"/>
      <x:c r="B336" s="3"/>
      <x:c r="C336" s="3"/>
      <x:c r="D336" s="3"/>
      <x:c r="E336" s="3"/>
      <x:c r="F336" s="3"/>
      <x:c r="G336" s="3"/>
      <x:c r="H336" s="3"/>
    </x:row>
    <x:row r="337" ht="24" customHeight="1">
      <x:c r="A337" s="6"/>
      <x:c r="B337" s="6"/>
      <x:c r="C337" s="6"/>
      <x:c r="D337" s="6"/>
      <x:c r="E337" s="6"/>
      <x:c r="F337" s="6"/>
      <x:c r="G337" s="6"/>
      <x:c r="H337" s="6"/>
    </x:row>
    <x:row r="338" ht="21" customHeight="1">
      <x:c r="A338" s="13"/>
      <x:c r="B338" s="13"/>
      <x:c r="C338" s="13"/>
      <x:c r="D338" s="13"/>
      <x:c r="E338" s="13"/>
      <x:c r="F338" s="13"/>
      <x:c r="G338" s="13"/>
      <x:c r="H338" s="13"/>
    </x:row>
    <x:row r="339" ht="64.5" customHeight="1">
      <x:c r="A339" s="3"/>
      <x:c r="B339" s="3"/>
      <x:c r="C339" s="3"/>
      <x:c r="D339" s="3"/>
      <x:c r="E339" s="3"/>
      <x:c r="F339" s="7"/>
      <x:c r="G339" s="10"/>
      <x:c r="H339" s="3"/>
    </x:row>
    <x:row r="340" ht="64.5" customHeight="1">
      <x:c r="A340" s="3"/>
      <x:c r="B340" s="3"/>
      <x:c r="C340" s="3"/>
      <x:c r="D340" s="3"/>
      <x:c r="E340" s="3"/>
      <x:c r="F340" s="7"/>
      <x:c r="G340" s="10"/>
      <x:c r="H340" s="3"/>
    </x:row>
    <x:row r="341" ht="64.5" customHeight="1">
      <x:c r="A341" s="3"/>
      <x:c r="B341" s="3"/>
      <x:c r="C341" s="3"/>
      <x:c r="D341" s="3"/>
      <x:c r="E341" s="3"/>
      <x:c r="F341" s="7"/>
      <x:c r="G341" s="10"/>
      <x:c r="H341" s="3"/>
    </x:row>
    <x:row r="342" ht="18" customHeight="1"/>
  </x:sheetData>
  <x:mergeCells>
    <x:mergeCell ref="A338:H338"/>
    <x:mergeCell ref="B330:H330"/>
    <x:mergeCell ref="B331:H331"/>
    <x:mergeCell ref="B332:H332"/>
    <x:mergeCell ref="B333:H333"/>
    <x:mergeCell ref="B334:H334"/>
    <x:mergeCell ref="B325:H325"/>
    <x:mergeCell ref="B326:H326"/>
    <x:mergeCell ref="B327:H327"/>
    <x:mergeCell ref="B328:H328"/>
    <x:mergeCell ref="B329:H329"/>
    <x:mergeCell ref="B313:H313"/>
    <x:mergeCell ref="B314:H314"/>
    <x:mergeCell ref="B315:H315"/>
    <x:mergeCell ref="A319:H319"/>
    <x:mergeCell ref="A324:H324"/>
    <x:mergeCell ref="B308:H308"/>
    <x:mergeCell ref="B309:H309"/>
    <x:mergeCell ref="B310:H310"/>
    <x:mergeCell ref="B311:H311"/>
    <x:mergeCell ref="B312:H312"/>
    <x:mergeCell ref="B296:H296"/>
    <x:mergeCell ref="A300:H300"/>
    <x:mergeCell ref="A305:H305"/>
    <x:mergeCell ref="B306:H306"/>
    <x:mergeCell ref="B307:H307"/>
    <x:mergeCell ref="B291:H291"/>
    <x:mergeCell ref="B292:H292"/>
    <x:mergeCell ref="B293:H293"/>
    <x:mergeCell ref="B294:H294"/>
    <x:mergeCell ref="B295:H295"/>
    <x:mergeCell ref="A286:H286"/>
    <x:mergeCell ref="B287:H287"/>
    <x:mergeCell ref="B288:H288"/>
    <x:mergeCell ref="B289:H289"/>
    <x:mergeCell ref="B290:H290"/>
    <x:mergeCell ref="B274:H274"/>
    <x:mergeCell ref="B275:H275"/>
    <x:mergeCell ref="B276:H276"/>
    <x:mergeCell ref="B277:H277"/>
    <x:mergeCell ref="A281:H281"/>
    <x:mergeCell ref="B269:H269"/>
    <x:mergeCell ref="B270:H270"/>
    <x:mergeCell ref="B271:H271"/>
    <x:mergeCell ref="B272:H272"/>
    <x:mergeCell ref="B273:H273"/>
    <x:mergeCell ref="B257:H257"/>
    <x:mergeCell ref="B258:H258"/>
    <x:mergeCell ref="A262:H262"/>
    <x:mergeCell ref="A267:H267"/>
    <x:mergeCell ref="B268:H268"/>
    <x:mergeCell ref="B252:H252"/>
    <x:mergeCell ref="B253:H253"/>
    <x:mergeCell ref="B254:H254"/>
    <x:mergeCell ref="B255:H255"/>
    <x:mergeCell ref="B256:H256"/>
    <x:mergeCell ref="A243:H243"/>
    <x:mergeCell ref="A248:H248"/>
    <x:mergeCell ref="B249:H249"/>
    <x:mergeCell ref="B250:H250"/>
    <x:mergeCell ref="B251:H251"/>
    <x:mergeCell ref="B235:H235"/>
    <x:mergeCell ref="B236:H236"/>
    <x:mergeCell ref="B237:H237"/>
    <x:mergeCell ref="B238:H238"/>
    <x:mergeCell ref="B239:H239"/>
    <x:mergeCell ref="B230:H230"/>
    <x:mergeCell ref="B231:H231"/>
    <x:mergeCell ref="B232:H232"/>
    <x:mergeCell ref="B233:H233"/>
    <x:mergeCell ref="B234:H234"/>
    <x:mergeCell ref="B218:H218"/>
    <x:mergeCell ref="B219:H219"/>
    <x:mergeCell ref="B220:H220"/>
    <x:mergeCell ref="A224:H224"/>
    <x:mergeCell ref="A229:H229"/>
    <x:mergeCell ref="B213:H213"/>
    <x:mergeCell ref="B214:H214"/>
    <x:mergeCell ref="B215:H215"/>
    <x:mergeCell ref="B216:H216"/>
    <x:mergeCell ref="B217:H217"/>
    <x:mergeCell ref="B201:H201"/>
    <x:mergeCell ref="A205:H205"/>
    <x:mergeCell ref="A210:H210"/>
    <x:mergeCell ref="B211:H211"/>
    <x:mergeCell ref="B212:H212"/>
    <x:mergeCell ref="B196:H196"/>
    <x:mergeCell ref="B197:H197"/>
    <x:mergeCell ref="B198:H198"/>
    <x:mergeCell ref="B199:H199"/>
    <x:mergeCell ref="B200:H200"/>
    <x:mergeCell ref="A191:H191"/>
    <x:mergeCell ref="B192:H192"/>
    <x:mergeCell ref="B193:H193"/>
    <x:mergeCell ref="B194:H194"/>
    <x:mergeCell ref="B195:H195"/>
    <x:mergeCell ref="B179:H179"/>
    <x:mergeCell ref="B180:H180"/>
    <x:mergeCell ref="B181:H181"/>
    <x:mergeCell ref="B182:H182"/>
    <x:mergeCell ref="A186:H186"/>
    <x:mergeCell ref="B174:H174"/>
    <x:mergeCell ref="B175:H175"/>
    <x:mergeCell ref="B176:H176"/>
    <x:mergeCell ref="B177:H177"/>
    <x:mergeCell ref="B178:H178"/>
    <x:mergeCell ref="B162:H162"/>
    <x:mergeCell ref="B163:H163"/>
    <x:mergeCell ref="A167:H167"/>
    <x:mergeCell ref="A172:H172"/>
    <x:mergeCell ref="B173:H173"/>
    <x:mergeCell ref="B157:H157"/>
    <x:mergeCell ref="B158:H158"/>
    <x:mergeCell ref="B159:H159"/>
    <x:mergeCell ref="B160:H160"/>
    <x:mergeCell ref="B161:H161"/>
    <x:mergeCell ref="A148:H148"/>
    <x:mergeCell ref="A153:H153"/>
    <x:mergeCell ref="B154:H154"/>
    <x:mergeCell ref="B155:H155"/>
    <x:mergeCell ref="B156:H156"/>
    <x:mergeCell ref="B140:H140"/>
    <x:mergeCell ref="B141:H141"/>
    <x:mergeCell ref="B142:H142"/>
    <x:mergeCell ref="B143:H143"/>
    <x:mergeCell ref="B144:H144"/>
    <x:mergeCell ref="B135:H135"/>
    <x:mergeCell ref="B136:H136"/>
    <x:mergeCell ref="B137:H137"/>
    <x:mergeCell ref="B138:H138"/>
    <x:mergeCell ref="B139:H139"/>
    <x:mergeCell ref="B123:H123"/>
    <x:mergeCell ref="B124:H124"/>
    <x:mergeCell ref="B125:H125"/>
    <x:mergeCell ref="A129:H129"/>
    <x:mergeCell ref="A134:H134"/>
    <x:mergeCell ref="B118:H118"/>
    <x:mergeCell ref="B119:H119"/>
    <x:mergeCell ref="B120:H120"/>
    <x:mergeCell ref="B121:H121"/>
    <x:mergeCell ref="B122:H122"/>
    <x:mergeCell ref="B106:H106"/>
    <x:mergeCell ref="A110:H110"/>
    <x:mergeCell ref="A115:H115"/>
    <x:mergeCell ref="B116:H116"/>
    <x:mergeCell ref="B117:H117"/>
    <x:mergeCell ref="B101:H101"/>
    <x:mergeCell ref="B102:H102"/>
    <x:mergeCell ref="B103:H103"/>
    <x:mergeCell ref="B104:H104"/>
    <x:mergeCell ref="B105:H105"/>
    <x:mergeCell ref="A96:H96"/>
    <x:mergeCell ref="B97:H97"/>
    <x:mergeCell ref="B98:H98"/>
    <x:mergeCell ref="B99:H99"/>
    <x:mergeCell ref="B100:H100"/>
    <x:mergeCell ref="B84:H84"/>
    <x:mergeCell ref="B85:H85"/>
    <x:mergeCell ref="B86:H86"/>
    <x:mergeCell ref="B87:H87"/>
    <x:mergeCell ref="A91:H91"/>
    <x:mergeCell ref="B79:H79"/>
    <x:mergeCell ref="B80:H80"/>
    <x:mergeCell ref="B81:H81"/>
    <x:mergeCell ref="B82:H82"/>
    <x:mergeCell ref="B83:H83"/>
    <x:mergeCell ref="B67:H67"/>
    <x:mergeCell ref="B68:H68"/>
    <x:mergeCell ref="A72:H72"/>
    <x:mergeCell ref="A77:H77"/>
    <x:mergeCell ref="B78:H78"/>
    <x:mergeCell ref="B62:H62"/>
    <x:mergeCell ref="B63:H63"/>
    <x:mergeCell ref="B64:H64"/>
    <x:mergeCell ref="B65:H65"/>
    <x:mergeCell ref="B66:H66"/>
    <x:mergeCell ref="A53:H53"/>
    <x:mergeCell ref="A58:H58"/>
    <x:mergeCell ref="B59:H59"/>
    <x:mergeCell ref="B60:H60"/>
    <x:mergeCell ref="B61:H61"/>
    <x:mergeCell ref="B45:H45"/>
    <x:mergeCell ref="B46:H46"/>
    <x:mergeCell ref="B47:H47"/>
    <x:mergeCell ref="B48:H48"/>
    <x:mergeCell ref="B49:H49"/>
    <x:mergeCell ref="B40:H40"/>
    <x:mergeCell ref="B41:H41"/>
    <x:mergeCell ref="B42:H42"/>
    <x:mergeCell ref="B43:H43"/>
    <x:mergeCell ref="B44:H44"/>
    <x:mergeCell ref="B28:H28"/>
    <x:mergeCell ref="B29:H29"/>
    <x:mergeCell ref="B30:H30"/>
    <x:mergeCell ref="A34:H34"/>
    <x:mergeCell ref="A39:H39"/>
    <x:mergeCell ref="B23:H23"/>
    <x:mergeCell ref="B24:H24"/>
    <x:mergeCell ref="B25:H25"/>
    <x:mergeCell ref="B26:H26"/>
    <x:mergeCell ref="B27:H27"/>
    <x:mergeCell ref="B11:H11"/>
    <x:mergeCell ref="A15:H15"/>
    <x:mergeCell ref="A20:H20"/>
    <x:mergeCell ref="B21:H21"/>
    <x:mergeCell ref="B22:H22"/>
    <x:mergeCell ref="B6:H6"/>
    <x:mergeCell ref="B7:H7"/>
    <x:mergeCell ref="B8:H8"/>
    <x:mergeCell ref="B9:H9"/>
    <x:mergeCell ref="B10:H10"/>
    <x:mergeCell ref="A1:H1"/>
    <x:mergeCell ref="B2:H2"/>
    <x:mergeCell ref="B3:H3"/>
    <x:mergeCell ref="B4:H4"/>
    <x:mergeCell ref="B5:H5"/>
  </x:mergeCells>
  <x:dataValidations count="1">
    <x:dataValidation type="list" sqref="G16:G18 G320:G322 G301:G303 G282:G284 G263:G265 G244:G246 G225:G227 G206:G208 G187:G189 G168:G170 G149:G151 G130:G132 G111:G113 G92:G94 G73:G75 G54:G56 G35:G37">
      <x:formula1>"Pass,Fail,Pending"</x:formula1>
    </x:dataValidation>
  </x:dataValidations>
  <x:pageMargins left="0.7" right="0.7" top="0.75" bottom="0.75" header="0.3" footer="0.3"/>
</x:worksheet>
</file>